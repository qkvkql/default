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B1F2318F-3138-4CB2-86ED-68287DE5B212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站点关联数据记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F1" i="1"/>
  <c r="H6" i="1"/>
  <c r="H7" i="1"/>
  <c r="H8" i="1"/>
  <c r="H9" i="1"/>
  <c r="H10" i="1"/>
  <c r="H11" i="1"/>
  <c r="H12" i="1"/>
  <c r="H5" i="1"/>
  <c r="B13" i="1"/>
  <c r="H1" i="1" l="1"/>
  <c r="J1" i="1"/>
  <c r="G13" i="1" a="1"/>
  <c r="G13" i="1" s="1"/>
  <c r="F13" i="1" a="1"/>
  <c r="F13" i="1" s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<sst xmlns="http://schemas.openxmlformats.org/spreadsheetml/2006/main" count="68" uniqueCount="58">
  <si>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</si>
  <si>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</si>
  <si>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</si>
  <si>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</si>
  <si>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</si>
  <si>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</si>
  <si>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</si>
  <si>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</si>
  <si>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</si>
  <si>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</si>
  <si>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</si>
  <si>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</si>
  <si>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</si>
  <si>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</si>
  <si>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</si>
  <si>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</si>
  <si>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</si>
  <si>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</si>
  <si>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</si>
  <si>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</si>
  <si>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</si>
  <si>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</si>
  <si>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</si>
  <si>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</si>
  <si>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</si>
  <si>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</si>
  <si>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</si>
  <si>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</si>
  <si>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r>
      <t xml:space="preserve">PK净胜
</t>
    </r>
    <r>
      <rPr>
        <b/>
        <sz val="12"/>
        <color theme="7" tint="0.79998168889431442"/>
        <rFont val="等线"/>
        <family val="3"/>
        <charset val="134"/>
        <scheme val="minor"/>
      </rPr>
      <t>(全部折算成最冷月均)</t>
    </r>
    <phoneticPr fontId="1" type="noConversion"/>
  </si>
  <si>
    <t>奥莫隆</t>
    <phoneticPr fontId="1" type="noConversion"/>
  </si>
  <si>
    <t>净胜分</t>
    <phoneticPr fontId="1" type="noConversion"/>
  </si>
  <si>
    <t>极值不受年份限制</t>
    <phoneticPr fontId="1" type="noConversion"/>
  </si>
  <si>
    <t>巴托姆加</t>
    <phoneticPr fontId="1" type="noConversion"/>
  </si>
  <si>
    <t>最冷月份历史最高气温</t>
    <phoneticPr fontId="1" type="noConversion"/>
  </si>
  <si>
    <t>统一只保留到
小数点后一位</t>
    <phoneticPr fontId="1" type="noConversion"/>
  </si>
  <si>
    <r>
      <t>平均每冬</t>
    </r>
    <r>
      <rPr>
        <b/>
        <sz val="11"/>
        <color rgb="FF0070C0"/>
        <rFont val="等线"/>
        <family val="3"/>
        <charset val="134"/>
        <scheme val="minor"/>
      </rPr>
      <t>最低</t>
    </r>
    <r>
      <rPr>
        <b/>
        <sz val="11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</si>
  <si>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1"/>
        <color rgb="FF0070C0"/>
        <rFont val="等线"/>
        <family val="3"/>
        <charset val="134"/>
        <scheme val="minor"/>
      </rPr>
      <t>冷月</t>
    </r>
    <r>
      <rPr>
        <b/>
        <sz val="11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</si>
  <si>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1"/>
        <color rgb="FF0070C0"/>
        <rFont val="等线"/>
        <family val="3"/>
        <charset val="134"/>
        <scheme val="minor"/>
      </rPr>
      <t>冬三月</t>
    </r>
    <r>
      <rPr>
        <b/>
        <sz val="11"/>
        <color theme="1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</si>
  <si>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11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</si>
  <si>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1"/>
        <color rgb="FF0070C0"/>
        <rFont val="等线"/>
        <family val="3"/>
        <charset val="134"/>
        <scheme val="minor"/>
      </rPr>
      <t>历史最低</t>
    </r>
    <r>
      <rPr>
        <b/>
        <sz val="11"/>
        <color theme="1"/>
        <rFont val="等线"/>
        <family val="3"/>
        <charset val="134"/>
        <scheme val="minor"/>
      </rPr>
      <t>气温</t>
    </r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</si>
  <si>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</si>
  <si>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</si>
  <si>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</si>
  <si>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</si>
  <si>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</si>
  <si>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</si>
  <si>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</si>
  <si>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</si>
  <si>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</si>
  <si>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</si>
  <si>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</si>
  <si>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</si>
  <si>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</si>
  <si>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</si>
  <si>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</si>
  <si>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</si>
  <si>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</si>
  <si>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常年: 1991~2020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</si>
</sst>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3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4"/>
      <color theme="0" tint="-0.249977111117893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8" fontId="20" fillId="6" borderId="12" xfId="0" applyNumberFormat="1" applyFont="1" applyFill="1" applyBorder="1" applyAlignment="1">
      <alignment horizontal="center" vertical="center" wrapText="1"/>
    </xf>
    <xf numFmtId="178" fontId="23" fillId="6" borderId="12" xfId="0" applyNumberFormat="1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0" fontId="21" fillId="7" borderId="13" xfId="0" applyFont="1" applyFill="1" applyBorder="1" applyAlignment="1">
      <alignment horizontal="right" vertical="center" wrapText="1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6" fillId="8" borderId="19" xfId="0" applyFont="1" applyFill="1" applyBorder="1" applyAlignment="1">
      <alignment horizontal="left" vertical="top" wrapText="1" indent="1"/>
    </xf>
    <xf numFmtId="0" fontId="27" fillId="8" borderId="3" xfId="0" applyFont="1" applyFill="1" applyBorder="1" applyAlignment="1">
      <alignment horizontal="left" wrapText="1" indent="1"/>
    </xf>
    <xf numFmtId="0" fontId="2" fillId="0" borderId="21" xfId="0" applyFont="1" applyBorder="1" applyAlignment="1">
      <alignment horizontal="right" vertical="center"/>
    </xf>
    <xf numFmtId="0" fontId="2" fillId="0" borderId="21" xfId="0" applyFont="1" applyBorder="1" applyAlignment="1">
      <alignment horizontal="right" vertical="center" wrapText="1"/>
    </xf>
    <xf numFmtId="177" fontId="29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33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30" fillId="10" borderId="22" xfId="0" applyFont="1" applyFill="1" applyBorder="1" applyAlignment="1">
      <alignment horizontal="center" vertical="center" shrinkToFit="1"/>
    </xf>
    <xf numFmtId="0" fontId="31" fillId="10" borderId="22" xfId="0" applyFont="1" applyFill="1" applyBorder="1" applyAlignment="1">
      <alignment horizontal="center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23" fillId="9" borderId="0" xfId="0" applyFont="1" applyFill="1" applyAlignment="1">
      <alignment horizontal="center" vertical="center" shrinkToFit="1"/>
    </xf>
    <xf numFmtId="0" fontId="23" fillId="9" borderId="7" xfId="0" applyFont="1" applyFill="1" applyBorder="1" applyAlignment="1">
      <alignment horizontal="center" vertical="center" shrinkToFit="1"/>
    </xf>
    <xf numFmtId="0" fontId="32" fillId="0" borderId="23" xfId="0" applyFont="1" applyBorder="1" applyAlignment="1">
      <alignment horizontal="center" vertical="center" wrapText="1" shrinkToFit="1"/>
    </xf>
    <xf numFmtId="0" fontId="32" fillId="0" borderId="24" xfId="0" applyFont="1" applyBorder="1" applyAlignment="1">
      <alignment horizontal="center" vertical="center" shrinkToFit="1"/>
    </xf>
    <xf numFmtId="0" fontId="23" fillId="9" borderId="25" xfId="0" applyFont="1" applyFill="1" applyBorder="1" applyAlignment="1">
      <alignment horizontal="center" vertical="center" shrinkToFit="1"/>
    </xf>
  </cellXfs>
  <cellStyles count="1"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4361EE"/>
      <color rgb="FFF72585"/>
      <color rgb="FF203764"/>
      <color rgb="FF3C096C"/>
      <color rgb="FF240046"/>
      <color rgb="FF10002B"/>
      <color rgb="FFFF00FF"/>
      <color rgb="FF7209B7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41" customWidth="1"/>
    <col min="10" max="10" width="16.59765625" style="40" customWidth="1"/>
    <col min="11" max="16384" width="9.06640625" style="1"/>
  </cols>
  <sheetData>
    <row r="1" spans="1:10" ht="32" customHeight="1" x14ac:dyDescent="0.4">
      <c r="E1" s="43" t="s">
        <v>24</v>
      </c>
      <c r="F1" s="39">
        <f xml:space="preserve"> $B5*(-F5) + $B6*(-F6) + $B7*(-F7) + $B8*(-F8) + $B9*(-F9) + $B10*(-F10) + $B11*(-F11) + $B12*(-F12)</f>
        <v>20.953999999999997</v>
      </c>
      <c r="G1" s="39">
        <f xml:space="preserve"> $B5*(-G5) + $B6*(-G6) + $B7*(-G7) + $B8*(-G8) + $B9*(-G9) + $B10*(-G10) + $B11*(-G11) + $B12*(-G12)</f>
        <v>21.165000000000003</v>
      </c>
      <c r="H1" s="28">
        <f>SUM(H5:H12)</f>
        <v>1</v>
      </c>
      <c r="I1" s="41" t="s">
        <v>30</v>
      </c>
      <c r="J1" s="40">
        <f>ABS(F1-G1)</f>
        <v>0.21100000000000563</v>
      </c>
    </row>
    <row r="2" spans="1:10" ht="24" customHeight="1" x14ac:dyDescent="0.5">
      <c r="A2" s="56" t="s">
        <v>5</v>
      </c>
      <c r="B2" s="57"/>
      <c r="C2" s="58"/>
      <c r="D2" s="26"/>
      <c r="E2" s="45" t="s">
        <v>57</v>
      </c>
      <c r="F2" s="62" t="s">
        <v>23</v>
      </c>
      <c r="G2" s="62"/>
      <c r="H2" s="63"/>
    </row>
    <row r="3" spans="1:10" ht="24" customHeight="1" thickBot="1" x14ac:dyDescent="0.45">
      <c r="A3" s="59"/>
      <c r="B3" s="60"/>
      <c r="C3" s="61"/>
      <c r="D3" s="26"/>
      <c r="E3" s="44" t="s">
        <v>31</v>
      </c>
      <c r="F3" s="64"/>
      <c r="G3" s="64"/>
      <c r="H3" s="65"/>
    </row>
    <row r="4" spans="1:10" s="2" customFormat="1" ht="40.049999999999997" customHeight="1" x14ac:dyDescent="0.4">
      <c r="A4" s="14" t="s">
        <v>3</v>
      </c>
      <c r="B4" s="14" t="s">
        <v>2</v>
      </c>
      <c r="C4" s="14" t="s">
        <v>4</v>
      </c>
      <c r="D4" s="27"/>
      <c r="E4" s="29" t="s">
        <v>3</v>
      </c>
      <c r="F4" s="52" t="s">
        <v>42</v>
      </c>
      <c r="G4" s="53" t="s">
        <v>41</v>
      </c>
      <c r="H4" s="30" t="s">
        <v>14</v>
      </c>
      <c r="I4" s="42"/>
      <c r="J4" s="40"/>
    </row>
    <row r="5" spans="1:10" ht="50" customHeight="1" x14ac:dyDescent="0.4">
      <c r="A5" s="12" t="s">
        <v>6</v>
      </c>
      <c r="B5" s="8">
        <v>0.35</v>
      </c>
      <c r="C5" s="3" t="s">
        <v>1</v>
      </c>
      <c r="D5" s="22"/>
      <c r="E5" s="17" t="s">
        <v>21</v>
      </c>
      <c r="F5" s="35">
        <v>-17.3</v>
      </c>
      <c r="G5" s="35">
        <v>-15.8</v>
      </c>
      <c r="H5" s="15">
        <f>B5</f>
        <v>0.35</v>
      </c>
    </row>
    <row r="6" spans="1:10" ht="50" customHeight="1" x14ac:dyDescent="0.4">
      <c r="A6" s="12" t="s">
        <v>16</v>
      </c>
      <c r="B6" s="9">
        <v>0.2</v>
      </c>
      <c r="C6" s="5" t="s">
        <v>0</v>
      </c>
      <c r="D6" s="23"/>
      <c r="E6" s="20" t="s">
        <v>52</v>
      </c>
      <c r="F6" s="36">
        <v>-29.4</v>
      </c>
      <c r="G6" s="36">
        <v>-33.700000000000003</v>
      </c>
      <c r="H6" s="21">
        <f t="shared" ref="H6:H12" si="0">B6</f>
        <v>0.2</v>
      </c>
    </row>
    <row r="7" spans="1:10" ht="50" customHeight="1" x14ac:dyDescent="0.4">
      <c r="A7" s="12" t="s">
        <v>19</v>
      </c>
      <c r="B7" s="10">
        <v>0.15</v>
      </c>
      <c r="C7" s="4" t="s">
        <v>0</v>
      </c>
      <c r="D7" s="24"/>
      <c r="E7" s="18" t="s">
        <v>53</v>
      </c>
      <c r="F7" s="35">
        <v>-27.5</v>
      </c>
      <c r="G7" s="35">
        <v>-25.1</v>
      </c>
      <c r="H7" s="16">
        <f t="shared" si="0"/>
        <v>0.15</v>
      </c>
    </row>
    <row r="8" spans="1:10" ht="50" customHeight="1" x14ac:dyDescent="0.4">
      <c r="A8" s="12" t="s">
        <v>17</v>
      </c>
      <c r="B8" s="10">
        <v>0.1</v>
      </c>
      <c r="C8" s="6" t="s">
        <v>46</v>
      </c>
      <c r="D8" s="25"/>
      <c r="E8" s="20" t="s">
        <v>54</v>
      </c>
      <c r="F8" s="36">
        <v>-19.7</v>
      </c>
      <c r="G8" s="36">
        <v>-22.3</v>
      </c>
      <c r="H8" s="21">
        <f t="shared" si="0"/>
        <v>0.1</v>
      </c>
    </row>
    <row r="9" spans="1:10" ht="50" customHeight="1" x14ac:dyDescent="0.4">
      <c r="A9" s="12" t="s">
        <v>18</v>
      </c>
      <c r="B9" s="10">
        <v>0.08</v>
      </c>
      <c r="C9" s="6" t="s">
        <v>9</v>
      </c>
      <c r="D9" s="25"/>
      <c r="E9" s="18" t="s">
        <v>55</v>
      </c>
      <c r="F9" s="35">
        <v>-14.6</v>
      </c>
      <c r="G9" s="35">
        <v>-13.6</v>
      </c>
      <c r="H9" s="16">
        <f>B9</f>
        <v>0.08</v>
      </c>
    </row>
    <row r="10" spans="1:10" ht="50" customHeight="1" x14ac:dyDescent="0.4">
      <c r="A10" s="12" t="s">
        <v>15</v>
      </c>
      <c r="B10" s="11">
        <v>0.05</v>
      </c>
      <c r="C10" s="6" t="s">
        <v>10</v>
      </c>
      <c r="D10" s="25"/>
      <c r="E10" s="20" t="s">
        <v>15</v>
      </c>
      <c r="F10" s="36">
        <v>4.2</v>
      </c>
      <c r="G10" s="36">
        <v>5.3</v>
      </c>
      <c r="H10" s="21">
        <f t="shared" si="0"/>
        <v>0.05</v>
      </c>
    </row>
    <row r="11" spans="1:10" ht="50" customHeight="1" x14ac:dyDescent="0.4">
      <c r="A11" s="13" t="s">
        <v>22</v>
      </c>
      <c r="B11" s="11">
        <v>0.05</v>
      </c>
      <c r="C11" s="5" t="s">
        <v>0</v>
      </c>
      <c r="D11" s="23"/>
      <c r="E11" s="19" t="s">
        <v>56</v>
      </c>
      <c r="F11" s="35">
        <v>-41.4</v>
      </c>
      <c r="G11" s="35">
        <v>-43.5</v>
      </c>
      <c r="H11" s="16">
        <f t="shared" si="0"/>
        <v>0.05</v>
      </c>
    </row>
    <row r="12" spans="1:10" ht="50" customHeight="1" x14ac:dyDescent="0.4">
      <c r="A12" s="12" t="s">
        <v>7</v>
      </c>
      <c r="B12" s="11">
        <v>0.02</v>
      </c>
      <c r="C12" s="6" t="s">
        <v>8</v>
      </c>
      <c r="D12" s="25"/>
      <c r="E12" s="20" t="s">
        <v>7</v>
      </c>
      <c r="F12" s="37">
        <v>5.2</v>
      </c>
      <c r="G12" s="37">
        <v>4.9000000000000004</v>
      </c>
      <c r="H12" s="21">
        <f t="shared" si="0"/>
        <v>0.02</v>
      </c>
      <c r="J12" s="40" t="s">
        <v>27</v>
      </c>
    </row>
    <row r="13" spans="1:10" ht="60" customHeight="1" x14ac:dyDescent="0.4">
      <c r="B13" s="7">
        <f>SUM(B5:B12)</f>
        <v>1</v>
      </c>
      <c r="E13" s="38" t="s">
        <v>28</v>
      </c>
      <c r="F13" s="31" t="str" cm="1">
        <f t="array" ref="F13" xml:space="preserve"> _xlfn.IFS( F1&gt;G1, _xlfn.CONCAT(TEXT((F1-G1)/B5, "0.0"), "°C", CHAR(10),"最冷月均"), F1&lt;G1, "败方", F1=G1, "平局" )</f>
        <v>败方</v>
      </c>
      <c r="G13" s="32" t="str" cm="1">
        <f t="array" ref="G13" xml:space="preserve"> _xlfn.IFS( F1&lt;G1, _xlfn.CONCAT(TEXT((G1-F1)/B5, "0.0"), "°C", CHAR(10),"最冷月均"), F1&gt;G1, "败方", F1=G1, "平局" )</f>
        <v>0.6°C
最冷月均</v>
      </c>
      <c r="H13" s="51">
        <f>SUM(H5:H12)</f>
        <v>1</v>
      </c>
    </row>
    <row r="14" spans="1:10" ht="44" customHeight="1" x14ac:dyDescent="0.4">
      <c r="E14" s="12" t="s">
        <v>13</v>
      </c>
      <c r="F14" s="33"/>
      <c r="G14" s="33"/>
      <c r="H14" s="16">
        <v>0</v>
      </c>
    </row>
    <row r="15" spans="1:10" ht="44" customHeight="1" x14ac:dyDescent="0.4">
      <c r="E15" s="12" t="s">
        <v>11</v>
      </c>
      <c r="F15" s="34"/>
      <c r="G15" s="34"/>
      <c r="H15" s="16">
        <v>0</v>
      </c>
    </row>
    <row r="16" spans="1:10" ht="44" customHeight="1" x14ac:dyDescent="0.4">
      <c r="E16" s="12" t="s">
        <v>12</v>
      </c>
      <c r="F16" s="34"/>
      <c r="G16" s="34"/>
      <c r="H16" s="16">
        <v>0</v>
      </c>
    </row>
    <row r="17" spans="5:8" ht="44" customHeight="1" x14ac:dyDescent="0.4">
      <c r="E17" s="12" t="s">
        <v>20</v>
      </c>
      <c r="F17" s="34"/>
      <c r="G17" s="34"/>
      <c r="H17" s="16">
        <v>0</v>
      </c>
    </row>
  </sheetData>
  <sheetProtection sheet="1" objects="1" scenarios="1"/>
  <protectedRanges>
    <protectedRange sqref="F14:G17 F4:G12 E2" name="区域1"/>
  </protectedRanges>
  <mergeCells count="2">
    <mergeCell ref="A2:C3"/>
    <mergeCell ref="F2:H3"/>
  </mergeCells>
  <phoneticPr fontId="1" type="noConversion"/>
  <conditionalFormatting sqref="F5:G5">
    <cfRule type="aboveAverage" dxfId="7" priority="10" aboveAverage="0"/>
  </conditionalFormatting>
  <conditionalFormatting sqref="F6:G6">
    <cfRule type="aboveAverage" dxfId="6" priority="6" aboveAverage="0"/>
  </conditionalFormatting>
  <conditionalFormatting sqref="F7:G7">
    <cfRule type="aboveAverage" dxfId="5" priority="9" aboveAverage="0"/>
  </conditionalFormatting>
  <conditionalFormatting sqref="F8:G8">
    <cfRule type="aboveAverage" dxfId="4" priority="5" aboveAverage="0"/>
  </conditionalFormatting>
  <conditionalFormatting sqref="F9:G9">
    <cfRule type="aboveAverage" dxfId="3" priority="8" aboveAverage="0"/>
  </conditionalFormatting>
  <conditionalFormatting sqref="F10:G10">
    <cfRule type="aboveAverage" dxfId="2" priority="4" aboveAverage="0"/>
  </conditionalFormatting>
  <conditionalFormatting sqref="F11:G11">
    <cfRule type="aboveAverage" dxfId="1" priority="7" aboveAverage="0"/>
  </conditionalFormatting>
  <conditionalFormatting sqref="F12:G12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dimension ref="A1:Q10"/>
  <sheetViews>
    <sheetView workbookViewId="0">
      <pane xSplit="1" topLeftCell="K1" activePane="topRight" state="frozen"/>
      <selection pane="topRight" activeCell="L3" sqref="L3:L10"/>
    </sheetView>
  </sheetViews>
  <sheetFormatPr defaultColWidth="14.59765625" defaultRowHeight="24" customHeight="1" x14ac:dyDescent="0.4"/>
  <cols>
    <col min="1" max="1" width="22.59765625" style="46" customWidth="1"/>
    <col min="2" max="16384" width="14.59765625" style="48"/>
  </cols>
  <sheetData>
    <row r="1" spans="1:17" s="50" customFormat="1" ht="32" customHeight="1" x14ac:dyDescent="0.4">
      <c r="A1" s="68" t="s">
        <v>34</v>
      </c>
      <c r="B1" s="66" t="s">
        <v>25</v>
      </c>
      <c r="C1" s="67"/>
      <c r="D1" s="70" t="s">
        <v>43</v>
      </c>
      <c r="E1" s="67"/>
      <c r="F1" s="49" t="s">
        <v>51</v>
      </c>
      <c r="G1" s="49" t="s">
        <v>45</v>
      </c>
      <c r="H1" s="50" t="s">
        <v>26</v>
      </c>
      <c r="I1" s="50" t="s">
        <v>29</v>
      </c>
      <c r="J1" s="50" t="s">
        <v>40</v>
      </c>
      <c r="K1" s="50" t="s">
        <v>32</v>
      </c>
      <c r="L1" s="50" t="s">
        <v>41</v>
      </c>
      <c r="M1" s="50" t="s">
        <v>42</v>
      </c>
      <c r="N1" s="70" t="s">
        <v>47</v>
      </c>
      <c r="O1" s="67"/>
      <c r="P1" s="50" t="s">
        <v>48</v>
      </c>
      <c r="Q1" s="50" t="s">
        <v>50</v>
      </c>
    </row>
    <row r="2" spans="1:17" s="54" customFormat="1" ht="24" customHeight="1" x14ac:dyDescent="0.4">
      <c r="A2" s="69"/>
      <c r="B2" s="54">
        <v>9120</v>
      </c>
      <c r="C2" s="55">
        <v>6190</v>
      </c>
      <c r="D2" s="54">
        <v>9120</v>
      </c>
      <c r="E2" s="55" t="s">
        <v>44</v>
      </c>
      <c r="F2" s="54">
        <v>9120</v>
      </c>
      <c r="G2" s="55" t="s">
        <v>44</v>
      </c>
      <c r="H2" s="54">
        <v>9120</v>
      </c>
      <c r="I2" s="54">
        <v>9120</v>
      </c>
      <c r="J2" s="55">
        <v>6190</v>
      </c>
      <c r="K2" s="55">
        <v>6190</v>
      </c>
      <c r="L2" s="54">
        <v>9120</v>
      </c>
      <c r="M2" s="54">
        <v>9120</v>
      </c>
      <c r="N2" s="55">
        <v>9720</v>
      </c>
      <c r="O2" s="55" t="s">
        <v>49</v>
      </c>
      <c r="P2" s="55">
        <v>9720</v>
      </c>
      <c r="Q2" s="55">
        <v>6190</v>
      </c>
    </row>
    <row r="3" spans="1:17" ht="24" customHeight="1" x14ac:dyDescent="0.4">
      <c r="A3" s="46" t="s">
        <v>6</v>
      </c>
      <c r="B3" s="48">
        <v>-36.6</v>
      </c>
      <c r="C3" s="48">
        <v>-38.799999999999997</v>
      </c>
      <c r="D3" s="48">
        <v>-45.7</v>
      </c>
      <c r="E3" s="48">
        <v>-45</v>
      </c>
      <c r="F3" s="48">
        <v>-44.7</v>
      </c>
      <c r="G3" s="48">
        <v>-42.8</v>
      </c>
      <c r="H3" s="48">
        <v>-34.799999999999997</v>
      </c>
      <c r="I3" s="48">
        <v>-37</v>
      </c>
      <c r="J3" s="48">
        <v>-38.1</v>
      </c>
      <c r="K3" s="48">
        <v>-37.799999999999997</v>
      </c>
      <c r="L3" s="48">
        <v>-15.8</v>
      </c>
      <c r="M3" s="48">
        <v>-17.3</v>
      </c>
      <c r="N3" s="48">
        <v>-28.4</v>
      </c>
      <c r="O3" s="48">
        <v>-29.4</v>
      </c>
      <c r="P3" s="48">
        <v>-28</v>
      </c>
      <c r="Q3" s="48">
        <v>-28.4</v>
      </c>
    </row>
    <row r="4" spans="1:17" ht="24" customHeight="1" x14ac:dyDescent="0.4">
      <c r="A4" s="46" t="s">
        <v>35</v>
      </c>
      <c r="B4" s="48">
        <v>-53.1</v>
      </c>
      <c r="C4" s="48">
        <v>-54.6</v>
      </c>
      <c r="D4" s="48">
        <v>-59.1</v>
      </c>
      <c r="E4" s="48">
        <v>-57.2</v>
      </c>
      <c r="F4" s="48">
        <v>-56.5</v>
      </c>
      <c r="G4" s="48">
        <v>-62.9</v>
      </c>
      <c r="H4" s="48">
        <v>-53</v>
      </c>
      <c r="I4" s="48">
        <v>-52.8</v>
      </c>
      <c r="J4" s="48">
        <v>-55.8</v>
      </c>
      <c r="K4" s="48">
        <v>-54.4</v>
      </c>
      <c r="L4" s="48">
        <v>-33.700000000000003</v>
      </c>
      <c r="M4" s="48">
        <v>-29.4</v>
      </c>
      <c r="N4" s="48">
        <v>-45.3</v>
      </c>
      <c r="O4" s="48">
        <v>-44.8</v>
      </c>
      <c r="P4" s="48">
        <v>-43.3</v>
      </c>
      <c r="Q4" s="48">
        <v>-44.5</v>
      </c>
    </row>
    <row r="5" spans="1:17" ht="24" customHeight="1" x14ac:dyDescent="0.4">
      <c r="A5" s="47" t="s">
        <v>36</v>
      </c>
      <c r="B5" s="48">
        <v>-46.6</v>
      </c>
      <c r="C5" s="48">
        <v>-46.6</v>
      </c>
      <c r="D5" s="48">
        <v>-54.1</v>
      </c>
      <c r="E5" s="48">
        <v>-51.4</v>
      </c>
      <c r="F5" s="48">
        <v>-55.4</v>
      </c>
      <c r="G5" s="48">
        <v>-48.3</v>
      </c>
      <c r="H5" s="48">
        <v>-45.6</v>
      </c>
      <c r="I5" s="48">
        <v>-46.4</v>
      </c>
      <c r="J5" s="48">
        <v>-48.4</v>
      </c>
      <c r="K5" s="48">
        <v>-44.8</v>
      </c>
      <c r="L5" s="48">
        <v>-25.1</v>
      </c>
      <c r="M5" s="48">
        <v>-27.5</v>
      </c>
      <c r="N5" s="48">
        <v>-36</v>
      </c>
      <c r="O5" s="48">
        <v>-36</v>
      </c>
      <c r="P5" s="48">
        <v>-35.1</v>
      </c>
      <c r="Q5" s="48">
        <v>-36.299999999999997</v>
      </c>
    </row>
    <row r="6" spans="1:17" ht="24" customHeight="1" x14ac:dyDescent="0.4">
      <c r="A6" s="46" t="s">
        <v>38</v>
      </c>
      <c r="B6" s="48">
        <v>-39</v>
      </c>
      <c r="C6" s="48">
        <v>-42</v>
      </c>
      <c r="D6" s="48">
        <v>-54.3</v>
      </c>
      <c r="E6" s="48">
        <v>-53.1</v>
      </c>
      <c r="F6" s="48">
        <v>-53.5</v>
      </c>
      <c r="G6" s="48">
        <v>-55.8</v>
      </c>
      <c r="H6" s="48">
        <v>-48.4</v>
      </c>
      <c r="I6" s="48">
        <v>-48.1</v>
      </c>
      <c r="J6" s="48">
        <v>-51.3</v>
      </c>
      <c r="K6" s="48">
        <v>-42.1</v>
      </c>
      <c r="L6" s="48">
        <v>-22.3</v>
      </c>
      <c r="M6" s="48">
        <v>-19.7</v>
      </c>
      <c r="N6" s="48">
        <v>-27.6</v>
      </c>
      <c r="O6" s="48">
        <v>-28.2</v>
      </c>
      <c r="P6" s="48">
        <v>-28.1</v>
      </c>
      <c r="Q6" s="48">
        <v>-37.799999999999997</v>
      </c>
    </row>
    <row r="7" spans="1:17" ht="24" customHeight="1" x14ac:dyDescent="0.4">
      <c r="A7" s="46" t="s">
        <v>37</v>
      </c>
      <c r="B7" s="48">
        <v>-34.9</v>
      </c>
      <c r="C7" s="48">
        <v>-36.700000000000003</v>
      </c>
      <c r="D7" s="48">
        <v>-44.3</v>
      </c>
      <c r="E7" s="48">
        <v>-43.4</v>
      </c>
      <c r="F7" s="48">
        <v>-43.5</v>
      </c>
      <c r="G7" s="48">
        <v>-41.7</v>
      </c>
      <c r="H7" s="48">
        <v>-33.700000000000003</v>
      </c>
      <c r="I7" s="48">
        <v>-35.4</v>
      </c>
      <c r="J7" s="48">
        <v>-35.700000000000003</v>
      </c>
      <c r="K7" s="48">
        <v>-35.4</v>
      </c>
      <c r="L7" s="48">
        <v>-13.6</v>
      </c>
      <c r="M7" s="48">
        <v>-14.6</v>
      </c>
      <c r="N7" s="48">
        <v>-26</v>
      </c>
      <c r="O7" s="48">
        <v>-27.1</v>
      </c>
      <c r="P7" s="48">
        <v>-26</v>
      </c>
      <c r="Q7" s="48">
        <v>-26</v>
      </c>
    </row>
    <row r="8" spans="1:17" ht="24" customHeight="1" x14ac:dyDescent="0.4">
      <c r="A8" s="47" t="s">
        <v>33</v>
      </c>
      <c r="B8" s="48">
        <v>-6.3</v>
      </c>
      <c r="C8" s="48">
        <v>-6.3</v>
      </c>
      <c r="D8" s="48">
        <v>-16.600000000000001</v>
      </c>
      <c r="E8" s="48">
        <v>-25.1</v>
      </c>
      <c r="F8" s="48">
        <v>-9.5</v>
      </c>
      <c r="G8" s="48">
        <v>-14.2</v>
      </c>
      <c r="H8" s="48">
        <v>2.4</v>
      </c>
      <c r="I8" s="48">
        <v>3</v>
      </c>
      <c r="J8" s="48">
        <v>-4.7</v>
      </c>
      <c r="K8" s="48">
        <v>-8.6999999999999993</v>
      </c>
      <c r="L8" s="48">
        <v>5.3</v>
      </c>
      <c r="M8" s="48">
        <v>4.2</v>
      </c>
      <c r="N8" s="48">
        <v>-3.3</v>
      </c>
      <c r="O8" s="48">
        <v>-3.3</v>
      </c>
      <c r="P8" s="48">
        <v>-4.5999999999999996</v>
      </c>
      <c r="Q8" s="48">
        <v>-0.7</v>
      </c>
    </row>
    <row r="9" spans="1:17" ht="24" customHeight="1" x14ac:dyDescent="0.4">
      <c r="A9" s="46" t="s">
        <v>39</v>
      </c>
      <c r="B9" s="48">
        <v>-61.1</v>
      </c>
      <c r="C9" s="48">
        <v>-61.1</v>
      </c>
      <c r="D9" s="48">
        <v>-67.7</v>
      </c>
      <c r="E9" s="48">
        <v>-61</v>
      </c>
      <c r="F9" s="48">
        <v>-67.8</v>
      </c>
      <c r="G9" s="48">
        <v>-67.5</v>
      </c>
      <c r="H9" s="48">
        <v>-64.400000000000006</v>
      </c>
      <c r="I9" s="48">
        <v>-61.1</v>
      </c>
      <c r="J9" s="48">
        <v>-60</v>
      </c>
      <c r="K9" s="48">
        <v>-59</v>
      </c>
      <c r="L9" s="48">
        <v>-43.5</v>
      </c>
      <c r="M9" s="48">
        <v>-41.4</v>
      </c>
      <c r="N9" s="48">
        <v>-50.2</v>
      </c>
      <c r="O9" s="48">
        <v>-50.2</v>
      </c>
      <c r="P9" s="48">
        <v>-52.3</v>
      </c>
      <c r="Q9" s="48">
        <v>-51.5</v>
      </c>
    </row>
    <row r="10" spans="1:17" ht="24" customHeight="1" x14ac:dyDescent="0.4">
      <c r="A10" s="46" t="s">
        <v>7</v>
      </c>
      <c r="B10" s="48">
        <v>-9.9</v>
      </c>
      <c r="C10" s="48">
        <v>-11.1</v>
      </c>
      <c r="D10" s="48">
        <v>-14.9</v>
      </c>
      <c r="E10" s="48">
        <v>-14</v>
      </c>
      <c r="F10" s="48">
        <v>-14</v>
      </c>
      <c r="G10" s="48">
        <v>-28.7</v>
      </c>
      <c r="H10" s="48">
        <v>-12</v>
      </c>
      <c r="I10" s="48">
        <v>-10.9</v>
      </c>
      <c r="J10" s="48">
        <v>-11</v>
      </c>
      <c r="K10" s="48">
        <v>-10</v>
      </c>
      <c r="L10" s="48">
        <v>4.9000000000000004</v>
      </c>
      <c r="M10" s="48">
        <v>5.2</v>
      </c>
      <c r="N10" s="48">
        <v>-3.7</v>
      </c>
      <c r="O10" s="48">
        <v>-4.9000000000000004</v>
      </c>
      <c r="P10" s="48">
        <v>-3.5</v>
      </c>
      <c r="Q10" s="48">
        <v>-4</v>
      </c>
    </row>
  </sheetData>
  <mergeCells count="4">
    <mergeCell ref="B1:C1"/>
    <mergeCell ref="A1:A2"/>
    <mergeCell ref="N1:O1"/>
    <mergeCell ref="D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高阶对比表</vt:lpstr>
      <vt:lpstr>站点关联数据记录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2026-09-07T05:20:14Z</dcterms:modified>
</cp:coreProperties>
</file>