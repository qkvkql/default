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EB71A19A-FA4F-481B-909C-4B00AEC9A441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纵版数据记录!$A$2:$L$96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8" i="3" s="1"/>
  <c r="A8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80" i="3" l="1"/>
  <c r="A80" i="3" s="1"/>
  <c r="L76" i="3"/>
  <c r="A76" i="3" s="1"/>
  <c r="L69" i="3"/>
  <c r="A69" i="3" s="1"/>
  <c r="L67" i="3"/>
  <c r="A67" i="3" s="1"/>
  <c r="L95" i="3"/>
  <c r="A95" i="3" s="1"/>
  <c r="L92" i="3"/>
  <c r="A92" i="3" s="1"/>
  <c r="L62" i="3"/>
  <c r="A62" i="3" s="1"/>
  <c r="L84" i="3"/>
  <c r="A84" i="3" s="1"/>
  <c r="L63" i="3"/>
  <c r="A63" i="3" s="1"/>
  <c r="L78" i="3"/>
  <c r="A78" i="3" s="1"/>
  <c r="L38" i="3"/>
  <c r="A38" i="3" s="1"/>
  <c r="L33" i="3"/>
  <c r="A33" i="3" s="1"/>
  <c r="L77" i="3"/>
  <c r="A77" i="3" s="1"/>
  <c r="L39" i="3"/>
  <c r="A39" i="3" s="1"/>
  <c r="L88" i="3"/>
  <c r="A88" i="3" s="1"/>
  <c r="L89" i="3"/>
  <c r="A89" i="3" s="1"/>
  <c r="L90" i="3"/>
  <c r="A90" i="3" s="1"/>
  <c r="L91" i="3"/>
  <c r="A91" i="3" s="1"/>
  <c r="L93" i="3"/>
  <c r="A93" i="3" s="1"/>
  <c r="L48" i="3"/>
  <c r="A48" i="3" s="1"/>
  <c r="L53" i="3"/>
  <c r="A53" i="3" s="1"/>
  <c r="L46" i="3"/>
  <c r="A46" i="3" s="1"/>
  <c r="L29" i="3"/>
  <c r="A29" i="3" s="1"/>
  <c r="L37" i="3"/>
  <c r="A37" i="3" s="1"/>
  <c r="L21" i="3"/>
  <c r="A21" i="3" s="1"/>
  <c r="L25" i="3"/>
  <c r="A25" i="3" s="1"/>
  <c r="L17" i="3"/>
  <c r="A17" i="3" s="1"/>
  <c r="L22" i="3"/>
  <c r="A22" i="3" s="1"/>
  <c r="L16" i="3"/>
  <c r="A16" i="3" s="1"/>
  <c r="L23" i="3"/>
  <c r="A23" i="3" s="1"/>
  <c r="L11" i="3"/>
  <c r="A11" i="3" s="1"/>
  <c r="L18" i="3"/>
  <c r="A18" i="3" s="1"/>
  <c r="L15" i="3"/>
  <c r="A15" i="3" s="1"/>
  <c r="L12" i="3"/>
  <c r="A12" i="3" s="1"/>
  <c r="L10" i="3"/>
  <c r="A10" i="3" s="1"/>
  <c r="L14" i="3"/>
  <c r="A14" i="3" s="1"/>
  <c r="L7" i="3"/>
  <c r="A7" i="3" s="1"/>
  <c r="L26" i="3"/>
  <c r="A26" i="3" s="1"/>
  <c r="L20" i="3"/>
  <c r="A20" i="3" s="1"/>
  <c r="L13" i="3"/>
  <c r="A13" i="3" s="1"/>
  <c r="L35" i="3"/>
  <c r="A35" i="3" s="1"/>
  <c r="L28" i="3"/>
  <c r="A28" i="3" s="1"/>
  <c r="L74" i="3"/>
  <c r="A74" i="3" s="1"/>
  <c r="L70" i="3"/>
  <c r="A70" i="3" s="1"/>
  <c r="L71" i="3"/>
  <c r="A71" i="3" s="1"/>
  <c r="L31" i="3"/>
  <c r="A31" i="3" s="1"/>
  <c r="L54" i="3"/>
  <c r="A54" i="3" s="1"/>
  <c r="L19" i="3"/>
  <c r="A19" i="3" s="1"/>
  <c r="L51" i="3"/>
  <c r="A51" i="3" s="1"/>
  <c r="L50" i="3"/>
  <c r="A50" i="3" s="1"/>
  <c r="L44" i="3"/>
  <c r="A44" i="3" s="1"/>
  <c r="L40" i="3"/>
  <c r="A40" i="3" s="1"/>
  <c r="L43" i="3"/>
  <c r="A43" i="3" s="1"/>
  <c r="L41" i="3"/>
  <c r="A41" i="3" s="1"/>
  <c r="L42" i="3"/>
  <c r="A42" i="3" s="1"/>
  <c r="L85" i="3"/>
  <c r="A85" i="3" s="1"/>
  <c r="L45" i="3"/>
  <c r="A45" i="3" s="1"/>
  <c r="L27" i="3"/>
  <c r="A27" i="3" s="1"/>
  <c r="L6" i="3"/>
  <c r="A6" i="3" s="1"/>
  <c r="L9" i="3"/>
  <c r="A9" i="3" s="1"/>
  <c r="L5" i="3"/>
  <c r="A5" i="3" s="1"/>
  <c r="L1" i="3"/>
  <c r="L86" i="3"/>
  <c r="A86" i="3" s="1"/>
  <c r="L68" i="3"/>
  <c r="A68" i="3" s="1"/>
  <c r="L34" i="3"/>
  <c r="A34" i="3" s="1"/>
  <c r="L72" i="3"/>
  <c r="A72" i="3" s="1"/>
  <c r="L36" i="3"/>
  <c r="A36" i="3" s="1"/>
  <c r="L64" i="3"/>
  <c r="A64" i="3" s="1"/>
  <c r="L32" i="3"/>
  <c r="A32" i="3" s="1"/>
  <c r="L3" i="3"/>
  <c r="A3" i="3" s="1"/>
  <c r="L65" i="3"/>
  <c r="A65" i="3" s="1"/>
  <c r="L30" i="3"/>
  <c r="A30" i="3" s="1"/>
  <c r="L56" i="3"/>
  <c r="A56" i="3" s="1"/>
  <c r="L57" i="3"/>
  <c r="A57" i="3" s="1"/>
  <c r="L49" i="3"/>
  <c r="A49" i="3" s="1"/>
  <c r="L83" i="3"/>
  <c r="A83" i="3" s="1"/>
  <c r="L73" i="3"/>
  <c r="A73" i="3" s="1"/>
  <c r="L47" i="3"/>
  <c r="A47" i="3" s="1"/>
  <c r="L75" i="3"/>
  <c r="A75" i="3" s="1"/>
  <c r="L4" i="3"/>
  <c r="A4" i="3" s="1"/>
  <c r="L66" i="3"/>
  <c r="A66" i="3" s="1"/>
  <c r="L24" i="3"/>
  <c r="A24" i="3" s="1"/>
  <c r="L59" i="3"/>
  <c r="A59" i="3" s="1"/>
  <c r="L87" i="3"/>
  <c r="A87" i="3" s="1"/>
  <c r="L79" i="3"/>
  <c r="A79" i="3" s="1"/>
  <c r="L52" i="3"/>
  <c r="A52" i="3" s="1"/>
  <c r="L96" i="3"/>
  <c r="A96" i="3" s="1"/>
  <c r="L58" i="3"/>
  <c r="A58" i="3" s="1"/>
  <c r="L94" i="3"/>
  <c r="A94" i="3" s="1"/>
  <c r="L61" i="3"/>
  <c r="A61" i="3" s="1"/>
  <c r="L82" i="3"/>
  <c r="A82" i="3" s="1"/>
  <c r="L60" i="3"/>
  <c r="A60" i="3" s="1"/>
  <c r="L81" i="3"/>
  <c r="A81" i="3" s="1"/>
  <c r="L55" i="3"/>
  <c r="A55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<sst xmlns="http://schemas.openxmlformats.org/spreadsheetml/2006/main" count="229" uniqueCount="182">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</sst>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24" fillId="0" borderId="0" xfId="0" applyFont="1" applyAlignment="1">
      <alignment horizontal="right" vertical="center" shrinkToFit="1"/>
    </xf>
    <xf numFmtId="177" fontId="24" fillId="0" borderId="2" xfId="0" applyNumberFormat="1" applyFont="1" applyBorder="1" applyAlignment="1">
      <alignment horizontal="right" vertical="center" indent="1"/>
    </xf>
    <xf numFmtId="0" fontId="24" fillId="0" borderId="14" xfId="0" applyFont="1" applyBorder="1" applyAlignment="1">
      <alignment horizontal="right" vertical="center" shrinkToFi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2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2" xfId="0" applyNumberFormat="1" applyFont="1" applyBorder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24" fillId="0" borderId="33" xfId="0" applyFont="1" applyBorder="1" applyAlignment="1">
      <alignment horizontal="center" vertical="center"/>
    </xf>
    <xf numFmtId="177" fontId="24" fillId="0" borderId="36" xfId="0" applyNumberFormat="1" applyFont="1" applyBorder="1" applyAlignment="1">
      <alignment horizontal="right" vertical="center" indent="1"/>
    </xf>
    <xf numFmtId="177" fontId="24" fillId="0" borderId="37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39" xfId="0" applyNumberFormat="1" applyFont="1" applyBorder="1" applyAlignment="1">
      <alignment horizontal="right" vertical="center" indent="1"/>
    </xf>
    <xf numFmtId="9" fontId="41" fillId="0" borderId="31" xfId="0" applyNumberFormat="1" applyFont="1" applyBorder="1" applyAlignment="1">
      <alignment horizontal="center" vertical="center"/>
    </xf>
    <xf numFmtId="0" fontId="42" fillId="0" borderId="29" xfId="0" applyFont="1" applyBorder="1" applyAlignment="1">
      <alignment horizontal="center" vertical="center"/>
    </xf>
    <xf numFmtId="0" fontId="42" fillId="0" borderId="2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6" xfId="0" applyFont="1" applyBorder="1" applyAlignment="1">
      <alignment horizontal="left" vertical="center"/>
    </xf>
    <xf numFmtId="177" fontId="24" fillId="0" borderId="6" xfId="0" applyNumberFormat="1" applyFont="1" applyBorder="1" applyAlignment="1">
      <alignment horizontal="right" vertical="center" indent="1"/>
    </xf>
    <xf numFmtId="177" fontId="38" fillId="0" borderId="6" xfId="0" applyNumberFormat="1" applyFont="1" applyBorder="1" applyAlignment="1">
      <alignment horizontal="right" vertical="center" indent="1"/>
    </xf>
    <xf numFmtId="177" fontId="39" fillId="0" borderId="6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24" fillId="0" borderId="31" xfId="0" applyFont="1" applyBorder="1" applyAlignment="1">
      <alignment horizontal="right" vertical="center" shrinkToFit="1"/>
    </xf>
    <xf numFmtId="0" fontId="35" fillId="0" borderId="14" xfId="0" applyFont="1" applyBorder="1" applyAlignment="1">
      <alignment horizontal="right" vertical="center" shrinkToFit="1"/>
    </xf>
    <xf numFmtId="177" fontId="42" fillId="0" borderId="36" xfId="0" applyNumberFormat="1" applyFont="1" applyBorder="1">
      <alignment vertical="center"/>
    </xf>
    <xf numFmtId="177" fontId="42" fillId="0" borderId="40" xfId="0" applyNumberFormat="1" applyFont="1" applyBorder="1">
      <alignment vertical="center"/>
    </xf>
    <xf numFmtId="177" fontId="42" fillId="0" borderId="34" xfId="0" applyNumberFormat="1" applyFont="1" applyBorder="1">
      <alignment vertical="center"/>
    </xf>
    <xf numFmtId="177" fontId="42" fillId="0" borderId="39" xfId="0" applyNumberFormat="1" applyFont="1" applyBorder="1">
      <alignment vertical="center"/>
    </xf>
    <xf numFmtId="0" fontId="42" fillId="0" borderId="33" xfId="0" applyFont="1" applyBorder="1" applyAlignment="1">
      <alignment horizontal="center" vertical="center" wrapTex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9" fontId="3" fillId="0" borderId="34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5" fillId="0" borderId="35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right" vertical="center" shrinkToFit="1"/>
    </xf>
    <xf numFmtId="0" fontId="49" fillId="0" borderId="14" xfId="0" applyFont="1" applyBorder="1" applyAlignment="1">
      <alignment horizontal="right" vertical="center" shrinkToFit="1"/>
    </xf>
    <xf numFmtId="0" fontId="38" fillId="0" borderId="14" xfId="0" applyFont="1" applyBorder="1" applyAlignment="1">
      <alignment horizontal="right" vertical="center" shrinkToFit="1"/>
    </xf>
    <xf numFmtId="0" fontId="50" fillId="0" borderId="14" xfId="0" applyFont="1" applyBorder="1" applyAlignment="1">
      <alignment horizontal="right" vertical="center" shrinkToFit="1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7" fontId="38" fillId="0" borderId="16" xfId="0" applyNumberFormat="1" applyFont="1" applyBorder="1" applyAlignment="1">
      <alignment horizontal="right" vertical="center" indent="1"/>
    </xf>
    <xf numFmtId="0" fontId="50" fillId="0" borderId="31" xfId="0" applyFont="1" applyBorder="1" applyAlignment="1">
      <alignment horizontal="right" vertical="center" shrinkToFit="1"/>
    </xf>
    <xf numFmtId="0" fontId="24" fillId="0" borderId="5" xfId="0" applyFont="1" applyBorder="1" applyAlignment="1">
      <alignment horizontal="right" vertical="center" shrinkToFit="1"/>
    </xf>
    <xf numFmtId="0" fontId="49" fillId="0" borderId="31" xfId="0" applyFont="1" applyBorder="1" applyAlignment="1">
      <alignment horizontal="right" vertical="center" shrinkToFit="1"/>
    </xf>
    <xf numFmtId="178" fontId="42" fillId="0" borderId="24" xfId="0" applyNumberFormat="1" applyFont="1" applyBorder="1">
      <alignment vertical="center"/>
    </xf>
    <xf numFmtId="178" fontId="42" fillId="0" borderId="31" xfId="0" applyNumberFormat="1" applyFont="1" applyBorder="1">
      <alignment vertical="center"/>
    </xf>
    <xf numFmtId="178" fontId="42" fillId="0" borderId="42" xfId="0" applyNumberFormat="1" applyFont="1" applyBorder="1">
      <alignment vertical="center"/>
    </xf>
    <xf numFmtId="178" fontId="42" fillId="0" borderId="21" xfId="0" applyNumberFormat="1" applyFont="1" applyBorder="1">
      <alignment vertical="center"/>
    </xf>
    <xf numFmtId="178" fontId="42" fillId="0" borderId="0" xfId="0" applyNumberFormat="1" applyFont="1">
      <alignment vertical="center"/>
    </xf>
    <xf numFmtId="0" fontId="42" fillId="0" borderId="35" xfId="0" applyFont="1" applyBorder="1" applyAlignment="1">
      <alignment horizontal="center" vertical="center" wrapText="1"/>
    </xf>
    <xf numFmtId="0" fontId="38" fillId="0" borderId="31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25.062000000000005</v>
      </c>
      <c r="G1" s="35">
        <f xml:space="preserve"> $B5*(-G5) + $B6*(-G6) + $B7*(-G7) + $B8*(-G8) + $B9*(-G9) + $B10*(-G10) + $B11*(-G11) + $B12*(-G12)</f>
        <v>24.633000000000003</v>
      </c>
      <c r="H1" s="27">
        <f>SUM(H5:H12)</f>
        <v>1</v>
      </c>
      <c r="I1" s="37" t="s">
        <v>22</v>
      </c>
      <c r="J1" s="36">
        <f>ABS(F1-G1)</f>
        <v>0.42900000000000205</v>
      </c>
    </row>
    <row r="2" spans="1:10" ht="24" customHeight="1" x14ac:dyDescent="0.4">
      <c r="A2" s="141" t="s">
        <v>5</v>
      </c>
      <c r="B2" s="142"/>
      <c r="C2" s="143"/>
      <c r="D2" s="25"/>
      <c r="E2" s="151" t="s">
        <v>181</v>
      </c>
      <c r="F2" s="147" t="s">
        <v>16</v>
      </c>
      <c r="G2" s="147"/>
      <c r="H2" s="148"/>
    </row>
    <row r="3" spans="1:10" ht="24" customHeight="1" thickBot="1" x14ac:dyDescent="0.45">
      <c r="A3" s="144"/>
      <c r="B3" s="145"/>
      <c r="C3" s="146"/>
      <c r="D3" s="25"/>
      <c r="E3" s="152"/>
      <c r="F3" s="149"/>
      <c r="G3" s="149"/>
      <c r="H3" s="15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57</v>
      </c>
      <c r="G4" s="46" t="s">
        <v>174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-21.6</v>
      </c>
      <c r="G5" s="32">
        <v>-17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116" t="s">
        <v>116</v>
      </c>
      <c r="F6" s="33">
        <v>-35.200000000000003</v>
      </c>
      <c r="G6" s="33">
        <v>-38.1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-28.1</v>
      </c>
      <c r="G7" s="32">
        <v>-30.7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106" t="s">
        <v>131</v>
      </c>
      <c r="F8" s="33">
        <v>-24.6</v>
      </c>
      <c r="G8" s="33">
        <v>-29.4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-19.600000000000001</v>
      </c>
      <c r="G9" s="32">
        <v>-15.1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-0.4</v>
      </c>
      <c r="G10" s="33">
        <v>4.0999999999999996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-44.5</v>
      </c>
      <c r="G11" s="32">
        <v>-51.1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1.3</v>
      </c>
      <c r="G12" s="34">
        <v>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0.4°C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1" priority="10" aboveAverage="0"/>
  </conditionalFormatting>
  <conditionalFormatting sqref="F6:G6">
    <cfRule type="aboveAverage" dxfId="10" priority="6" aboveAverage="0"/>
  </conditionalFormatting>
  <conditionalFormatting sqref="F7:G7">
    <cfRule type="aboveAverage" dxfId="9" priority="9" aboveAverage="0"/>
  </conditionalFormatting>
  <conditionalFormatting sqref="F8:G8">
    <cfRule type="aboveAverage" dxfId="8" priority="5" aboveAverage="0"/>
  </conditionalFormatting>
  <conditionalFormatting sqref="F9:G9">
    <cfRule type="aboveAverage" dxfId="7" priority="8" aboveAverage="0"/>
  </conditionalFormatting>
  <conditionalFormatting sqref="F10:G10">
    <cfRule type="aboveAverage" dxfId="6" priority="4" aboveAverage="0"/>
  </conditionalFormatting>
  <conditionalFormatting sqref="F11:G11">
    <cfRule type="aboveAverage" dxfId="5" priority="7" aboveAverage="0"/>
  </conditionalFormatting>
  <conditionalFormatting sqref="F12:G12">
    <cfRule type="aboveAverage" dxfId="4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26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04" customWidth="1"/>
    <col min="2" max="2" width="16.59765625" style="70" customWidth="1"/>
    <col min="3" max="3" width="16.59765625" style="90" customWidth="1"/>
    <col min="4" max="4" width="12.59765625" style="69" customWidth="1"/>
    <col min="5" max="5" width="12.59765625" style="77" customWidth="1"/>
    <col min="6" max="6" width="12.59765625" style="80" customWidth="1"/>
    <col min="7" max="7" width="12.59765625" style="77" customWidth="1"/>
    <col min="8" max="8" width="12.59765625" style="69" customWidth="1"/>
    <col min="9" max="9" width="12.59765625" style="80" customWidth="1"/>
    <col min="10" max="10" width="12.59765625" style="77" customWidth="1"/>
    <col min="11" max="11" width="12.59765625" style="85" customWidth="1"/>
    <col min="12" max="12" width="16.59765625" style="138" customWidth="1"/>
    <col min="13" max="16384" width="9.06640625" style="67"/>
  </cols>
  <sheetData>
    <row r="1" spans="1:12" s="73" customFormat="1" ht="36" customHeight="1" x14ac:dyDescent="0.4">
      <c r="A1" s="153" t="s">
        <v>110</v>
      </c>
      <c r="B1" s="154"/>
      <c r="C1" s="155"/>
      <c r="D1" s="107" cm="1">
        <f t="array" ref="D1:K1">TRANSPOSE(高阶对比表!B5:'高阶对比表'!B12)</f>
        <v>0.35</v>
      </c>
      <c r="E1" s="108">
        <v>0.2</v>
      </c>
      <c r="F1" s="109">
        <v>0.15</v>
      </c>
      <c r="G1" s="108">
        <v>0.1</v>
      </c>
      <c r="H1" s="107">
        <v>0.08</v>
      </c>
      <c r="I1" s="109">
        <v>0.05</v>
      </c>
      <c r="J1" s="128">
        <v>0.05</v>
      </c>
      <c r="K1" s="110">
        <v>0.02</v>
      </c>
      <c r="L1" s="86">
        <f>SUM(D1:K1)</f>
        <v>1</v>
      </c>
    </row>
    <row r="2" spans="1:12" s="73" customFormat="1" ht="48" customHeight="1" thickBot="1" x14ac:dyDescent="0.45">
      <c r="A2" s="139" t="s">
        <v>173</v>
      </c>
      <c r="B2" s="81" t="s">
        <v>82</v>
      </c>
      <c r="C2" s="87" t="s">
        <v>83</v>
      </c>
      <c r="D2" s="111" t="s">
        <v>120</v>
      </c>
      <c r="E2" s="112" t="s">
        <v>119</v>
      </c>
      <c r="F2" s="113" t="s">
        <v>122</v>
      </c>
      <c r="G2" s="112" t="s">
        <v>121</v>
      </c>
      <c r="H2" s="111" t="s">
        <v>126</v>
      </c>
      <c r="I2" s="113" t="s">
        <v>123</v>
      </c>
      <c r="J2" s="129" t="s">
        <v>124</v>
      </c>
      <c r="K2" s="114" t="s">
        <v>125</v>
      </c>
      <c r="L2" s="105" t="s">
        <v>114</v>
      </c>
    </row>
    <row r="3" spans="1:12" ht="24" customHeight="1" thickTop="1" x14ac:dyDescent="0.4">
      <c r="A3" s="101">
        <f>L3</f>
        <v>50.216000000000001</v>
      </c>
      <c r="B3" s="124" t="s">
        <v>62</v>
      </c>
      <c r="C3" s="88">
        <v>6190</v>
      </c>
      <c r="D3" s="71">
        <v>-47</v>
      </c>
      <c r="E3" s="75">
        <v>-59.9</v>
      </c>
      <c r="F3" s="78">
        <v>-54.1</v>
      </c>
      <c r="G3" s="75">
        <v>-55.2</v>
      </c>
      <c r="H3" s="71">
        <v>-45.1</v>
      </c>
      <c r="I3" s="78">
        <v>-16.600000000000001</v>
      </c>
      <c r="J3" s="130">
        <v>-67.7</v>
      </c>
      <c r="K3" s="82">
        <v>-16.399999999999999</v>
      </c>
      <c r="L3" s="134">
        <f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01">
        <f>L4</f>
        <v>49.571000000000005</v>
      </c>
      <c r="B4" s="125" t="s">
        <v>64</v>
      </c>
      <c r="C4" s="89">
        <v>6190</v>
      </c>
      <c r="D4" s="68">
        <v>-47</v>
      </c>
      <c r="E4" s="76">
        <v>-57.9</v>
      </c>
      <c r="F4" s="79">
        <v>-55.4</v>
      </c>
      <c r="G4" s="76">
        <v>-55</v>
      </c>
      <c r="H4" s="68">
        <v>-44.5</v>
      </c>
      <c r="I4" s="79">
        <v>-9.5</v>
      </c>
      <c r="J4" s="76">
        <v>-67.8</v>
      </c>
      <c r="K4" s="83">
        <v>-15.3</v>
      </c>
      <c r="L4" s="134">
        <f xml:space="preserve"> D$1 * (-D4) + E$1 * (-E4) + F$1 * (-F4) + G$1 * (-G4) + H$1 * (-H4) + I$1 * (-I4) + J$1 * (-J4) + K$1 * (-K4)</f>
        <v>49.571000000000005</v>
      </c>
    </row>
    <row r="5" spans="1:12" ht="24" customHeight="1" x14ac:dyDescent="0.4">
      <c r="A5" s="101">
        <f>L5</f>
        <v>49.416999999999994</v>
      </c>
      <c r="B5" s="125" t="s">
        <v>62</v>
      </c>
      <c r="C5" s="89">
        <v>9120</v>
      </c>
      <c r="D5" s="68">
        <v>-45.7</v>
      </c>
      <c r="E5" s="76">
        <v>-59.1</v>
      </c>
      <c r="F5" s="79">
        <v>-54.1</v>
      </c>
      <c r="G5" s="76">
        <v>-54.3</v>
      </c>
      <c r="H5" s="68">
        <v>-44.3</v>
      </c>
      <c r="I5" s="79">
        <v>-16.600000000000001</v>
      </c>
      <c r="J5" s="76">
        <v>-67.7</v>
      </c>
      <c r="K5" s="84">
        <v>-14.9</v>
      </c>
      <c r="L5" s="135">
        <f xml:space="preserve"> D$1 * (-D5) + E$1 * (-E5) + F$1 * (-F5) + G$1 * (-G5) + H$1 * (-H5) + I$1 * (-I5) + J$1 * (-J5) + K$1 * (-K5)</f>
        <v>49.416999999999994</v>
      </c>
    </row>
    <row r="6" spans="1:12" ht="24" customHeight="1" x14ac:dyDescent="0.4">
      <c r="A6" s="101">
        <f>L6</f>
        <v>48.379999999999995</v>
      </c>
      <c r="B6" s="127" t="s">
        <v>91</v>
      </c>
      <c r="C6" s="89" t="s">
        <v>158</v>
      </c>
      <c r="D6" s="68">
        <v>-42.8</v>
      </c>
      <c r="E6" s="76">
        <v>-62.9</v>
      </c>
      <c r="F6" s="79">
        <v>-48.3</v>
      </c>
      <c r="G6" s="76">
        <v>-55.8</v>
      </c>
      <c r="H6" s="68">
        <v>-41.7</v>
      </c>
      <c r="I6" s="79">
        <v>-14.2</v>
      </c>
      <c r="J6" s="76">
        <v>-67.5</v>
      </c>
      <c r="K6" s="84">
        <v>-28.7</v>
      </c>
      <c r="L6" s="135">
        <f xml:space="preserve"> D$1 * (-D6) + E$1 * (-E6) + F$1 * (-F6) + G$1 * (-G6) + H$1 * (-H6) + I$1 * (-I6) + J$1 * (-J6) + K$1 * (-K6)</f>
        <v>48.379999999999995</v>
      </c>
    </row>
    <row r="7" spans="1:12" ht="24" customHeight="1" x14ac:dyDescent="0.4">
      <c r="A7" s="101">
        <f>L7</f>
        <v>48.288000000000004</v>
      </c>
      <c r="B7" s="125" t="s">
        <v>156</v>
      </c>
      <c r="C7" s="89">
        <v>6190</v>
      </c>
      <c r="D7" s="68">
        <v>-46.2</v>
      </c>
      <c r="E7" s="76">
        <v>-56.2</v>
      </c>
      <c r="F7" s="79">
        <v>-52.8</v>
      </c>
      <c r="G7" s="76">
        <v>-53.9</v>
      </c>
      <c r="H7" s="68">
        <v>-44</v>
      </c>
      <c r="I7" s="79">
        <v>-13</v>
      </c>
      <c r="J7" s="76">
        <v>-62.2</v>
      </c>
      <c r="K7" s="84">
        <v>-14.4</v>
      </c>
      <c r="L7" s="135">
        <f xml:space="preserve"> D$1 * (-D7) + E$1 * (-E7) + F$1 * (-F7) + G$1 * (-G7) + H$1 * (-H7) + I$1 * (-I7) + J$1 * (-J7) + K$1 * (-K7)</f>
        <v>48.288000000000004</v>
      </c>
    </row>
    <row r="8" spans="1:12" ht="24" customHeight="1" x14ac:dyDescent="0.4">
      <c r="A8" s="101">
        <f>L8</f>
        <v>48.267000000000003</v>
      </c>
      <c r="B8" s="125" t="s">
        <v>62</v>
      </c>
      <c r="C8" s="89" t="s">
        <v>158</v>
      </c>
      <c r="D8" s="68">
        <v>-45</v>
      </c>
      <c r="E8" s="76">
        <v>-57.2</v>
      </c>
      <c r="F8" s="79">
        <v>-51.4</v>
      </c>
      <c r="G8" s="76">
        <v>-53.1</v>
      </c>
      <c r="H8" s="68">
        <v>-43.4</v>
      </c>
      <c r="I8" s="79">
        <v>-25.1</v>
      </c>
      <c r="J8" s="76">
        <v>-61</v>
      </c>
      <c r="K8" s="84">
        <v>-14</v>
      </c>
      <c r="L8" s="135">
        <f xml:space="preserve"> D$1 * (-D8) + E$1 * (-E8) + F$1 * (-F8) + G$1 * (-G8) + H$1 * (-H8) + I$1 * (-I8) + J$1 * (-J8) + K$1 * (-K8)</f>
        <v>48.267000000000003</v>
      </c>
    </row>
    <row r="9" spans="1:12" ht="24" customHeight="1" x14ac:dyDescent="0.4">
      <c r="A9" s="101">
        <f>L9</f>
        <v>48.23</v>
      </c>
      <c r="B9" s="125" t="s">
        <v>64</v>
      </c>
      <c r="C9" s="89">
        <v>9120</v>
      </c>
      <c r="D9" s="68">
        <v>-44.7</v>
      </c>
      <c r="E9" s="76">
        <v>-56.5</v>
      </c>
      <c r="F9" s="79">
        <v>-55.4</v>
      </c>
      <c r="G9" s="76">
        <v>-53.5</v>
      </c>
      <c r="H9" s="68">
        <v>-43.5</v>
      </c>
      <c r="I9" s="79">
        <v>-9.5</v>
      </c>
      <c r="J9" s="76">
        <v>-67.8</v>
      </c>
      <c r="K9" s="84">
        <v>-14</v>
      </c>
      <c r="L9" s="135">
        <f xml:space="preserve"> D$1 * (-D9) + E$1 * (-E9) + F$1 * (-F9) + G$1 * (-G9) + H$1 * (-H9) + I$1 * (-I9) + J$1 * (-J9) + K$1 * (-K9)</f>
        <v>48.23</v>
      </c>
    </row>
    <row r="10" spans="1:12" ht="24" customHeight="1" x14ac:dyDescent="0.4">
      <c r="A10" s="101">
        <f>L10</f>
        <v>47.696999999999989</v>
      </c>
      <c r="B10" s="125" t="s">
        <v>157</v>
      </c>
      <c r="C10" s="89">
        <v>6190</v>
      </c>
      <c r="D10" s="68">
        <v>-44.4</v>
      </c>
      <c r="E10" s="76">
        <v>-57.8</v>
      </c>
      <c r="F10" s="79">
        <v>-52.2</v>
      </c>
      <c r="G10" s="76">
        <v>-53.4</v>
      </c>
      <c r="H10" s="68">
        <v>-42.3</v>
      </c>
      <c r="I10" s="79">
        <v>-13</v>
      </c>
      <c r="J10" s="76">
        <v>-62.1</v>
      </c>
      <c r="K10" s="84">
        <v>-14.4</v>
      </c>
      <c r="L10" s="135">
        <f xml:space="preserve"> D$1 * (-D10) + E$1 * (-E10) + F$1 * (-F10) + G$1 * (-G10) + H$1 * (-H10) + I$1 * (-I10) + J$1 * (-J10) + K$1 * (-K10)</f>
        <v>47.696999999999989</v>
      </c>
    </row>
    <row r="11" spans="1:12" ht="24" customHeight="1" x14ac:dyDescent="0.4">
      <c r="A11" s="101">
        <f>L11</f>
        <v>46.588000000000001</v>
      </c>
      <c r="B11" s="125" t="s">
        <v>161</v>
      </c>
      <c r="C11" s="89">
        <v>6190</v>
      </c>
      <c r="D11" s="68">
        <v>-43</v>
      </c>
      <c r="E11" s="76">
        <v>-58</v>
      </c>
      <c r="F11" s="79">
        <v>-51</v>
      </c>
      <c r="G11" s="76">
        <v>-54.7</v>
      </c>
      <c r="H11" s="68">
        <v>-40</v>
      </c>
      <c r="I11" s="79">
        <v>-2.6</v>
      </c>
      <c r="J11" s="76">
        <v>-64.2</v>
      </c>
      <c r="K11" s="84">
        <v>-13.9</v>
      </c>
      <c r="L11" s="135">
        <f xml:space="preserve"> D$1 * (-D11) + E$1 * (-E11) + F$1 * (-F11) + G$1 * (-G11) + H$1 * (-H11) + I$1 * (-I11) + J$1 * (-J11) + K$1 * (-K11)</f>
        <v>46.588000000000001</v>
      </c>
    </row>
    <row r="12" spans="1:12" ht="24" customHeight="1" x14ac:dyDescent="0.4">
      <c r="A12" s="101">
        <f>L12</f>
        <v>46.44</v>
      </c>
      <c r="B12" s="125" t="s">
        <v>160</v>
      </c>
      <c r="C12" s="89">
        <v>6190</v>
      </c>
      <c r="D12" s="68">
        <v>-44.2</v>
      </c>
      <c r="E12" s="76">
        <v>-55.5</v>
      </c>
      <c r="F12" s="79">
        <v>-51.1</v>
      </c>
      <c r="G12" s="76">
        <v>-51.9</v>
      </c>
      <c r="H12" s="68">
        <v>-41.7</v>
      </c>
      <c r="I12" s="79">
        <v>-9.3000000000000007</v>
      </c>
      <c r="J12" s="76">
        <v>-58.8</v>
      </c>
      <c r="K12" s="84">
        <v>-13.7</v>
      </c>
      <c r="L12" s="135">
        <f xml:space="preserve"> D$1 * (-D12) + E$1 * (-E12) + F$1 * (-F12) + G$1 * (-G12) + H$1 * (-H12) + I$1 * (-I12) + J$1 * (-J12) + K$1 * (-K12)</f>
        <v>46.44</v>
      </c>
    </row>
    <row r="13" spans="1:12" ht="24" customHeight="1" x14ac:dyDescent="0.4">
      <c r="A13" s="101">
        <f>L13</f>
        <v>45.762</v>
      </c>
      <c r="B13" s="125" t="s">
        <v>154</v>
      </c>
      <c r="C13" s="89">
        <v>6190</v>
      </c>
      <c r="D13" s="68">
        <v>-41.9</v>
      </c>
      <c r="E13" s="76">
        <v>-57.1</v>
      </c>
      <c r="F13" s="79">
        <v>-50.9</v>
      </c>
      <c r="G13" s="76">
        <v>-53.2</v>
      </c>
      <c r="H13" s="68">
        <v>-39.200000000000003</v>
      </c>
      <c r="I13" s="79">
        <v>-2.9</v>
      </c>
      <c r="J13" s="76">
        <v>-63.5</v>
      </c>
      <c r="K13" s="84">
        <v>-13.3</v>
      </c>
      <c r="L13" s="135">
        <f xml:space="preserve"> D$1 * (-D13) + E$1 * (-E13) + F$1 * (-F13) + G$1 * (-G13) + H$1 * (-H13) + I$1 * (-I13) + J$1 * (-J13) + K$1 * (-K13)</f>
        <v>45.762</v>
      </c>
    </row>
    <row r="14" spans="1:12" ht="24" customHeight="1" x14ac:dyDescent="0.4">
      <c r="A14" s="101">
        <f>L14</f>
        <v>45.412999999999997</v>
      </c>
      <c r="B14" s="125" t="s">
        <v>157</v>
      </c>
      <c r="C14" s="89">
        <v>9120</v>
      </c>
      <c r="D14" s="68">
        <v>-41.6</v>
      </c>
      <c r="E14" s="76">
        <v>-53.7</v>
      </c>
      <c r="F14" s="79">
        <v>-52.2</v>
      </c>
      <c r="G14" s="76">
        <v>-50.7</v>
      </c>
      <c r="H14" s="68">
        <v>-40.1</v>
      </c>
      <c r="I14" s="79">
        <v>-13</v>
      </c>
      <c r="J14" s="76">
        <v>-62.1</v>
      </c>
      <c r="K14" s="84">
        <v>-12.5</v>
      </c>
      <c r="L14" s="135">
        <f xml:space="preserve"> D$1 * (-D14) + E$1 * (-E14) + F$1 * (-F14) + G$1 * (-G14) + H$1 * (-H14) + I$1 * (-I14) + J$1 * (-J14) + K$1 * (-K14)</f>
        <v>45.412999999999997</v>
      </c>
    </row>
    <row r="15" spans="1:12" ht="24" customHeight="1" x14ac:dyDescent="0.4">
      <c r="A15" s="101">
        <f>L15</f>
        <v>45.198</v>
      </c>
      <c r="B15" s="125" t="s">
        <v>160</v>
      </c>
      <c r="C15" s="89">
        <v>9120</v>
      </c>
      <c r="D15" s="68">
        <v>-42.2</v>
      </c>
      <c r="E15" s="76">
        <v>-54</v>
      </c>
      <c r="F15" s="79">
        <v>-51.1</v>
      </c>
      <c r="G15" s="76">
        <v>-50.4</v>
      </c>
      <c r="H15" s="68">
        <v>-40.799999999999997</v>
      </c>
      <c r="I15" s="79">
        <v>-9.3000000000000007</v>
      </c>
      <c r="J15" s="76">
        <v>-58.8</v>
      </c>
      <c r="K15" s="84">
        <v>-12.7</v>
      </c>
      <c r="L15" s="135">
        <f xml:space="preserve"> D$1 * (-D15) + E$1 * (-E15) + F$1 * (-F15) + G$1 * (-G15) + H$1 * (-H15) + I$1 * (-I15) + J$1 * (-J15) + K$1 * (-K15)</f>
        <v>45.198</v>
      </c>
    </row>
    <row r="16" spans="1:12" ht="24" customHeight="1" x14ac:dyDescent="0.4">
      <c r="A16" s="101">
        <f>L16</f>
        <v>45.132999999999996</v>
      </c>
      <c r="B16" s="125" t="s">
        <v>162</v>
      </c>
      <c r="C16" s="89">
        <v>6190</v>
      </c>
      <c r="D16" s="68">
        <v>-42.9</v>
      </c>
      <c r="E16" s="76">
        <v>-56.2</v>
      </c>
      <c r="F16" s="79">
        <v>-47.6</v>
      </c>
      <c r="G16" s="76">
        <v>-51.5</v>
      </c>
      <c r="H16" s="68">
        <v>-40.299999999999997</v>
      </c>
      <c r="I16" s="79">
        <v>-2.1</v>
      </c>
      <c r="J16" s="76">
        <v>-60.5</v>
      </c>
      <c r="K16" s="84">
        <v>-11.7</v>
      </c>
      <c r="L16" s="135">
        <f xml:space="preserve"> D$1 * (-D16) + E$1 * (-E16) + F$1 * (-F16) + G$1 * (-G16) + H$1 * (-H16) + I$1 * (-I16) + J$1 * (-J16) + K$1 * (-K16)</f>
        <v>45.132999999999996</v>
      </c>
    </row>
    <row r="17" spans="1:12" ht="24" customHeight="1" x14ac:dyDescent="0.4">
      <c r="A17" s="101">
        <f>L17</f>
        <v>44.810000000000009</v>
      </c>
      <c r="B17" s="125" t="s">
        <v>163</v>
      </c>
      <c r="C17" s="89">
        <v>6190</v>
      </c>
      <c r="D17" s="68">
        <v>-41.7</v>
      </c>
      <c r="E17" s="76">
        <v>-55.3</v>
      </c>
      <c r="F17" s="79">
        <v>-47.5</v>
      </c>
      <c r="G17" s="76">
        <v>-49.2</v>
      </c>
      <c r="H17" s="68">
        <v>-39.4</v>
      </c>
      <c r="I17" s="79">
        <v>-8.9</v>
      </c>
      <c r="J17" s="76">
        <v>-65.7</v>
      </c>
      <c r="K17" s="84">
        <v>-11.4</v>
      </c>
      <c r="L17" s="135">
        <f xml:space="preserve"> D$1 * (-D17) + E$1 * (-E17) + F$1 * (-F17) + G$1 * (-G17) + H$1 * (-H17) + I$1 * (-I17) + J$1 * (-J17) + K$1 * (-K17)</f>
        <v>44.810000000000009</v>
      </c>
    </row>
    <row r="18" spans="1:12" ht="24" customHeight="1" x14ac:dyDescent="0.4">
      <c r="A18" s="101">
        <f>L18</f>
        <v>44.763000000000012</v>
      </c>
      <c r="B18" s="125" t="s">
        <v>161</v>
      </c>
      <c r="C18" s="89">
        <v>9120</v>
      </c>
      <c r="D18" s="68">
        <v>-39.9</v>
      </c>
      <c r="E18" s="76">
        <v>-56.1</v>
      </c>
      <c r="F18" s="79">
        <v>-51</v>
      </c>
      <c r="G18" s="76">
        <v>-52.7</v>
      </c>
      <c r="H18" s="68">
        <v>-38.4</v>
      </c>
      <c r="I18" s="79">
        <v>-2.6</v>
      </c>
      <c r="J18" s="76">
        <v>-64.2</v>
      </c>
      <c r="K18" s="84">
        <v>-12.3</v>
      </c>
      <c r="L18" s="135">
        <f xml:space="preserve"> D$1 * (-D18) + E$1 * (-E18) + F$1 * (-F18) + G$1 * (-G18) + H$1 * (-H18) + I$1 * (-I18) + J$1 * (-J18) + K$1 * (-K18)</f>
        <v>44.763000000000012</v>
      </c>
    </row>
    <row r="19" spans="1:12" ht="24" customHeight="1" x14ac:dyDescent="0.4">
      <c r="A19" s="101">
        <f>L19</f>
        <v>44.211999999999996</v>
      </c>
      <c r="B19" s="125" t="s">
        <v>107</v>
      </c>
      <c r="C19" s="89">
        <v>6190</v>
      </c>
      <c r="D19" s="68">
        <v>-39.799999999999997</v>
      </c>
      <c r="E19" s="76">
        <v>-56.6</v>
      </c>
      <c r="F19" s="79">
        <v>-48.5</v>
      </c>
      <c r="G19" s="76">
        <v>-52.6</v>
      </c>
      <c r="H19" s="68">
        <v>-36.9</v>
      </c>
      <c r="I19" s="79">
        <v>-0.4</v>
      </c>
      <c r="J19" s="76">
        <v>-63.5</v>
      </c>
      <c r="K19" s="84">
        <v>-14</v>
      </c>
      <c r="L19" s="135">
        <f xml:space="preserve"> D$1 * (-D19) + E$1 * (-E19) + F$1 * (-F19) + G$1 * (-G19) + H$1 * (-H19) + I$1 * (-I19) + J$1 * (-J19) + K$1 * (-K19)</f>
        <v>44.211999999999996</v>
      </c>
    </row>
    <row r="20" spans="1:12" ht="24" customHeight="1" x14ac:dyDescent="0.4">
      <c r="A20" s="101">
        <f>L20</f>
        <v>43.959999999999994</v>
      </c>
      <c r="B20" s="125" t="s">
        <v>154</v>
      </c>
      <c r="C20" s="89">
        <v>9120</v>
      </c>
      <c r="D20" s="68">
        <v>-38.9</v>
      </c>
      <c r="E20" s="76">
        <v>-55.3</v>
      </c>
      <c r="F20" s="79">
        <v>-50.9</v>
      </c>
      <c r="G20" s="76">
        <v>-51.1</v>
      </c>
      <c r="H20" s="68">
        <v>-37.299999999999997</v>
      </c>
      <c r="I20" s="79">
        <v>-2.9</v>
      </c>
      <c r="J20" s="76">
        <v>-63.5</v>
      </c>
      <c r="K20" s="84">
        <v>-11.8</v>
      </c>
      <c r="L20" s="135">
        <f xml:space="preserve"> D$1 * (-D20) + E$1 * (-E20) + F$1 * (-F20) + G$1 * (-G20) + H$1 * (-H20) + I$1 * (-I20) + J$1 * (-J20) + K$1 * (-K20)</f>
        <v>43.959999999999994</v>
      </c>
    </row>
    <row r="21" spans="1:12" ht="24" customHeight="1" x14ac:dyDescent="0.4">
      <c r="A21" s="101">
        <f>L21</f>
        <v>43.783000000000001</v>
      </c>
      <c r="B21" s="125" t="s">
        <v>164</v>
      </c>
      <c r="C21" s="89">
        <v>6190</v>
      </c>
      <c r="D21" s="68">
        <v>-41.3</v>
      </c>
      <c r="E21" s="76">
        <v>-53.4</v>
      </c>
      <c r="F21" s="79">
        <v>-46.5</v>
      </c>
      <c r="G21" s="76">
        <v>-48.3</v>
      </c>
      <c r="H21" s="68">
        <v>-39.1</v>
      </c>
      <c r="I21" s="79">
        <v>-10.4</v>
      </c>
      <c r="J21" s="76">
        <v>-58.5</v>
      </c>
      <c r="K21" s="84">
        <v>-13.5</v>
      </c>
      <c r="L21" s="135">
        <f xml:space="preserve"> D$1 * (-D21) + E$1 * (-E21) + F$1 * (-F21) + G$1 * (-G21) + H$1 * (-H21) + I$1 * (-I21) + J$1 * (-J21) + K$1 * (-K21)</f>
        <v>43.783000000000001</v>
      </c>
    </row>
    <row r="22" spans="1:12" ht="24" customHeight="1" x14ac:dyDescent="0.4">
      <c r="A22" s="101">
        <f>L22</f>
        <v>43.307000000000002</v>
      </c>
      <c r="B22" s="125" t="s">
        <v>163</v>
      </c>
      <c r="C22" s="89">
        <v>9120</v>
      </c>
      <c r="D22" s="68">
        <v>-39.4</v>
      </c>
      <c r="E22" s="76">
        <v>-53.3</v>
      </c>
      <c r="F22" s="79">
        <v>-47.5</v>
      </c>
      <c r="G22" s="76">
        <v>-47.4</v>
      </c>
      <c r="H22" s="68">
        <v>-38.200000000000003</v>
      </c>
      <c r="I22" s="79">
        <v>-8.9</v>
      </c>
      <c r="J22" s="76">
        <v>-65.7</v>
      </c>
      <c r="K22" s="84">
        <v>-10.3</v>
      </c>
      <c r="L22" s="135">
        <f xml:space="preserve"> D$1 * (-D22) + E$1 * (-E22) + F$1 * (-F22) + G$1 * (-G22) + H$1 * (-H22) + I$1 * (-I22) + J$1 * (-J22) + K$1 * (-K22)</f>
        <v>43.307000000000002</v>
      </c>
    </row>
    <row r="23" spans="1:12" ht="24" customHeight="1" x14ac:dyDescent="0.4">
      <c r="A23" s="101">
        <f>L23</f>
        <v>43.202399999999997</v>
      </c>
      <c r="B23" s="125" t="s">
        <v>162</v>
      </c>
      <c r="C23" s="89">
        <v>9120</v>
      </c>
      <c r="D23" s="68">
        <v>-40.200000000000003</v>
      </c>
      <c r="E23" s="76">
        <v>-53.4</v>
      </c>
      <c r="F23" s="79">
        <v>-47.6</v>
      </c>
      <c r="G23" s="76">
        <v>-48.9</v>
      </c>
      <c r="H23" s="68">
        <v>-38.58</v>
      </c>
      <c r="I23" s="79">
        <v>-2.1</v>
      </c>
      <c r="J23" s="76">
        <v>-60.5</v>
      </c>
      <c r="K23" s="84">
        <v>-10.3</v>
      </c>
      <c r="L23" s="135">
        <f xml:space="preserve"> D$1 * (-D23) + E$1 * (-E23) + F$1 * (-F23) + G$1 * (-G23) + H$1 * (-H23) + I$1 * (-I23) + J$1 * (-J23) + K$1 * (-K23)</f>
        <v>43.202399999999997</v>
      </c>
    </row>
    <row r="24" spans="1:12" ht="24" customHeight="1" x14ac:dyDescent="0.4">
      <c r="A24" s="101">
        <f>L24</f>
        <v>43.195999999999998</v>
      </c>
      <c r="B24" s="125" t="s">
        <v>94</v>
      </c>
      <c r="C24" s="89">
        <v>6190</v>
      </c>
      <c r="D24" s="68">
        <v>-38.1</v>
      </c>
      <c r="E24" s="76">
        <v>-55.8</v>
      </c>
      <c r="F24" s="79">
        <v>-48.4</v>
      </c>
      <c r="G24" s="76">
        <v>-51.3</v>
      </c>
      <c r="H24" s="68">
        <v>-35.700000000000003</v>
      </c>
      <c r="I24" s="79">
        <v>-4.7</v>
      </c>
      <c r="J24" s="76">
        <v>-60</v>
      </c>
      <c r="K24" s="84">
        <v>-11</v>
      </c>
      <c r="L24" s="135">
        <f xml:space="preserve"> D$1 * (-D24) + E$1 * (-E24) + F$1 * (-F24) + G$1 * (-G24) + H$1 * (-H24) + I$1 * (-I24) + J$1 * (-J24) + K$1 * (-K24)</f>
        <v>43.195999999999998</v>
      </c>
    </row>
    <row r="25" spans="1:12" ht="24" customHeight="1" x14ac:dyDescent="0.4">
      <c r="A25" s="101">
        <f>L25</f>
        <v>42.821000000000005</v>
      </c>
      <c r="B25" s="125" t="s">
        <v>164</v>
      </c>
      <c r="C25" s="89">
        <v>9120</v>
      </c>
      <c r="D25" s="68">
        <v>-39.1</v>
      </c>
      <c r="E25" s="76">
        <v>-52.9</v>
      </c>
      <c r="F25" s="79">
        <v>-46.5</v>
      </c>
      <c r="G25" s="76">
        <v>-48</v>
      </c>
      <c r="H25" s="68">
        <v>-38.5</v>
      </c>
      <c r="I25" s="79">
        <v>-10.4</v>
      </c>
      <c r="J25" s="76">
        <v>-58.5</v>
      </c>
      <c r="K25" s="84">
        <v>-12.8</v>
      </c>
      <c r="L25" s="135">
        <f xml:space="preserve"> D$1 * (-D25) + E$1 * (-E25) + F$1 * (-F25) + G$1 * (-G25) + H$1 * (-H25) + I$1 * (-I25) + J$1 * (-J25) + K$1 * (-K25)</f>
        <v>42.821000000000005</v>
      </c>
    </row>
    <row r="26" spans="1:12" ht="24" customHeight="1" x14ac:dyDescent="0.4">
      <c r="A26" s="101">
        <f>L26</f>
        <v>42.463999999999992</v>
      </c>
      <c r="B26" s="125" t="s">
        <v>155</v>
      </c>
      <c r="C26" s="89">
        <v>9120</v>
      </c>
      <c r="D26" s="68">
        <v>-36.4</v>
      </c>
      <c r="E26" s="76">
        <v>-55.1</v>
      </c>
      <c r="F26" s="79">
        <v>-48.5</v>
      </c>
      <c r="G26" s="76">
        <v>-51.5</v>
      </c>
      <c r="H26" s="68">
        <v>-35.5</v>
      </c>
      <c r="I26" s="79">
        <v>-0.4</v>
      </c>
      <c r="J26" s="76">
        <v>-63.5</v>
      </c>
      <c r="K26" s="84">
        <v>-12.2</v>
      </c>
      <c r="L26" s="135">
        <f xml:space="preserve"> D$1 * (-D26) + E$1 * (-E26) + F$1 * (-F26) + G$1 * (-G26) + H$1 * (-H26) + I$1 * (-I26) + J$1 * (-J26) + K$1 * (-K26)</f>
        <v>42.463999999999992</v>
      </c>
    </row>
    <row r="27" spans="1:12" ht="24" customHeight="1" x14ac:dyDescent="0.4">
      <c r="A27" s="101">
        <f>L27</f>
        <v>42.218000000000004</v>
      </c>
      <c r="B27" s="125" t="s">
        <v>60</v>
      </c>
      <c r="C27" s="89">
        <v>6190</v>
      </c>
      <c r="D27" s="68">
        <v>-38.799999999999997</v>
      </c>
      <c r="E27" s="76">
        <v>-54.6</v>
      </c>
      <c r="F27" s="79">
        <v>-46.6</v>
      </c>
      <c r="G27" s="76">
        <v>-42</v>
      </c>
      <c r="H27" s="68">
        <v>-36.700000000000003</v>
      </c>
      <c r="I27" s="79">
        <v>-6.3</v>
      </c>
      <c r="J27" s="76">
        <v>-61.1</v>
      </c>
      <c r="K27" s="84">
        <v>-11.1</v>
      </c>
      <c r="L27" s="135">
        <f xml:space="preserve"> D$1 * (-D27) + E$1 * (-E27) + F$1 * (-F27) + G$1 * (-G27) + H$1 * (-H27) + I$1 * (-I27) + J$1 * (-J27) + K$1 * (-K27)</f>
        <v>42.218000000000004</v>
      </c>
    </row>
    <row r="28" spans="1:12" ht="24" customHeight="1" x14ac:dyDescent="0.4">
      <c r="A28" s="101">
        <f>L28</f>
        <v>41.698000000000008</v>
      </c>
      <c r="B28" s="125" t="s">
        <v>152</v>
      </c>
      <c r="C28" s="89">
        <v>6190</v>
      </c>
      <c r="D28" s="68">
        <v>-36.5</v>
      </c>
      <c r="E28" s="76">
        <v>-54.8</v>
      </c>
      <c r="F28" s="79">
        <v>-46.4</v>
      </c>
      <c r="G28" s="76">
        <v>-49.9</v>
      </c>
      <c r="H28" s="68">
        <v>-35.700000000000003</v>
      </c>
      <c r="I28" s="79">
        <v>3</v>
      </c>
      <c r="J28" s="76">
        <v>-61.1</v>
      </c>
      <c r="K28" s="84">
        <v>-12.6</v>
      </c>
      <c r="L28" s="135">
        <f xml:space="preserve"> D$1 * (-D28) + E$1 * (-E28) + F$1 * (-F28) + G$1 * (-G28) + H$1 * (-H28) + I$1 * (-I28) + J$1 * (-J28) + K$1 * (-K28)</f>
        <v>41.698000000000008</v>
      </c>
    </row>
    <row r="29" spans="1:12" ht="24" customHeight="1" x14ac:dyDescent="0.4">
      <c r="A29" s="101">
        <f>L29</f>
        <v>41.636000000000003</v>
      </c>
      <c r="B29" s="127" t="s">
        <v>165</v>
      </c>
      <c r="C29" s="89">
        <v>6190</v>
      </c>
      <c r="D29" s="68">
        <v>-38.5</v>
      </c>
      <c r="E29" s="76">
        <v>-50.4</v>
      </c>
      <c r="F29" s="79">
        <v>-47.9</v>
      </c>
      <c r="G29" s="76">
        <v>-46.7</v>
      </c>
      <c r="H29" s="68">
        <v>-37.6</v>
      </c>
      <c r="I29" s="79">
        <v>-1.1000000000000001</v>
      </c>
      <c r="J29" s="76">
        <v>-55.3</v>
      </c>
      <c r="K29" s="84">
        <v>-19.899999999999999</v>
      </c>
      <c r="L29" s="135">
        <f xml:space="preserve"> D$1 * (-D29) + E$1 * (-E29) + F$1 * (-F29) + G$1 * (-G29) + H$1 * (-H29) + I$1 * (-I29) + J$1 * (-J29) + K$1 * (-K29)</f>
        <v>41.636000000000003</v>
      </c>
    </row>
    <row r="30" spans="1:12" ht="24" customHeight="1" x14ac:dyDescent="0.4">
      <c r="A30" s="101">
        <f>L30</f>
        <v>41.457000000000008</v>
      </c>
      <c r="B30" s="125" t="s">
        <v>95</v>
      </c>
      <c r="C30" s="89">
        <v>6190</v>
      </c>
      <c r="D30" s="68">
        <v>-37.799999999999997</v>
      </c>
      <c r="E30" s="76">
        <v>-54.4</v>
      </c>
      <c r="F30" s="79">
        <v>-44.8</v>
      </c>
      <c r="G30" s="76">
        <v>-42.1</v>
      </c>
      <c r="H30" s="68">
        <v>-35.4</v>
      </c>
      <c r="I30" s="79">
        <v>-8.6999999999999993</v>
      </c>
      <c r="J30" s="76">
        <v>-59</v>
      </c>
      <c r="K30" s="84">
        <v>-10</v>
      </c>
      <c r="L30" s="135">
        <f xml:space="preserve"> D$1 * (-D30) + E$1 * (-E30) + F$1 * (-F30) + G$1 * (-G30) + H$1 * (-H30) + I$1 * (-I30) + J$1 * (-J30) + K$1 * (-K30)</f>
        <v>41.457000000000008</v>
      </c>
    </row>
    <row r="31" spans="1:12" ht="24" customHeight="1" x14ac:dyDescent="0.4">
      <c r="A31" s="101">
        <f>L31</f>
        <v>41.25</v>
      </c>
      <c r="B31" s="125" t="s">
        <v>108</v>
      </c>
      <c r="C31" s="89">
        <v>6190</v>
      </c>
      <c r="D31" s="68">
        <v>-35.200000000000003</v>
      </c>
      <c r="E31" s="76">
        <v>-54.6</v>
      </c>
      <c r="F31" s="79">
        <v>-46</v>
      </c>
      <c r="G31" s="76">
        <v>-48.5</v>
      </c>
      <c r="H31" s="68">
        <v>-32.9</v>
      </c>
      <c r="I31" s="79">
        <v>-3.4</v>
      </c>
      <c r="J31" s="76">
        <v>-65.599999999999994</v>
      </c>
      <c r="K31" s="84">
        <v>-8.9</v>
      </c>
      <c r="L31" s="135">
        <f xml:space="preserve"> D$1 * (-D31) + E$1 * (-E31) + F$1 * (-F31) + G$1 * (-G31) + H$1 * (-H31) + I$1 * (-I31) + J$1 * (-J31) + K$1 * (-K31)</f>
        <v>41.25</v>
      </c>
    </row>
    <row r="32" spans="1:12" ht="24" customHeight="1" x14ac:dyDescent="0.4">
      <c r="A32" s="101">
        <f>L32</f>
        <v>41.235000000000007</v>
      </c>
      <c r="B32" s="125" t="s">
        <v>93</v>
      </c>
      <c r="C32" s="89">
        <v>9120</v>
      </c>
      <c r="D32" s="68">
        <v>-37</v>
      </c>
      <c r="E32" s="76">
        <v>-52.8</v>
      </c>
      <c r="F32" s="79">
        <v>-46.4</v>
      </c>
      <c r="G32" s="76">
        <v>-48.1</v>
      </c>
      <c r="H32" s="68">
        <v>-35.4</v>
      </c>
      <c r="I32" s="79">
        <v>3</v>
      </c>
      <c r="J32" s="76">
        <v>-61.1</v>
      </c>
      <c r="K32" s="84">
        <v>-10.9</v>
      </c>
      <c r="L32" s="135">
        <f xml:space="preserve"> D$1 * (-D32) + E$1 * (-E32) + F$1 * (-F32) + G$1 * (-G32) + H$1 * (-H32) + I$1 * (-I32) + J$1 * (-J32) + K$1 * (-K32)</f>
        <v>41.235000000000007</v>
      </c>
    </row>
    <row r="33" spans="1:12" ht="24" customHeight="1" x14ac:dyDescent="0.4">
      <c r="A33" s="101">
        <f>L33</f>
        <v>41.01</v>
      </c>
      <c r="B33" s="125" t="s">
        <v>172</v>
      </c>
      <c r="C33" s="89">
        <v>6190</v>
      </c>
      <c r="D33" s="68">
        <v>-36.200000000000003</v>
      </c>
      <c r="E33" s="76">
        <v>-53.4</v>
      </c>
      <c r="F33" s="79">
        <v>-46.2</v>
      </c>
      <c r="G33" s="76">
        <v>-47.9</v>
      </c>
      <c r="H33" s="68">
        <v>-33.700000000000003</v>
      </c>
      <c r="I33" s="79">
        <v>-1.2</v>
      </c>
      <c r="J33" s="76">
        <v>-60</v>
      </c>
      <c r="K33" s="84">
        <v>-9.1999999999999993</v>
      </c>
      <c r="L33" s="135">
        <f xml:space="preserve"> D$1 * (-D33) + E$1 * (-E33) + F$1 * (-F33) + G$1 * (-G33) + H$1 * (-H33) + I$1 * (-I33) + J$1 * (-J33) + K$1 * (-K33)</f>
        <v>41.01</v>
      </c>
    </row>
    <row r="34" spans="1:12" ht="24" customHeight="1" x14ac:dyDescent="0.4">
      <c r="A34" s="101">
        <f>L34</f>
        <v>40.68</v>
      </c>
      <c r="B34" s="125" t="s">
        <v>18</v>
      </c>
      <c r="C34" s="89">
        <v>9120</v>
      </c>
      <c r="D34" s="68">
        <v>-36.6</v>
      </c>
      <c r="E34" s="76">
        <v>-53.1</v>
      </c>
      <c r="F34" s="79">
        <v>-46.6</v>
      </c>
      <c r="G34" s="76">
        <v>-39</v>
      </c>
      <c r="H34" s="68">
        <v>-34.9</v>
      </c>
      <c r="I34" s="79">
        <v>-6.3</v>
      </c>
      <c r="J34" s="76">
        <v>-61.1</v>
      </c>
      <c r="K34" s="84">
        <v>-9.9</v>
      </c>
      <c r="L34" s="135">
        <f xml:space="preserve"> D$1 * (-D34) + E$1 * (-E34) + F$1 * (-F34) + G$1 * (-G34) + H$1 * (-H34) + I$1 * (-I34) + J$1 * (-J34) + K$1 * (-K34)</f>
        <v>40.68</v>
      </c>
    </row>
    <row r="35" spans="1:12" ht="24" customHeight="1" x14ac:dyDescent="0.4">
      <c r="A35" s="101">
        <f>L35</f>
        <v>40.674000000000007</v>
      </c>
      <c r="B35" s="125" t="s">
        <v>153</v>
      </c>
      <c r="C35" s="89">
        <v>6190</v>
      </c>
      <c r="D35" s="68">
        <v>-33.4</v>
      </c>
      <c r="E35" s="76">
        <v>-55.3</v>
      </c>
      <c r="F35" s="79">
        <v>-45.6</v>
      </c>
      <c r="G35" s="76">
        <v>-50.5</v>
      </c>
      <c r="H35" s="68">
        <v>-33.299999999999997</v>
      </c>
      <c r="I35" s="79">
        <v>2.4</v>
      </c>
      <c r="J35" s="76">
        <v>-64.400000000000006</v>
      </c>
      <c r="K35" s="84">
        <v>-13.5</v>
      </c>
      <c r="L35" s="135">
        <f xml:space="preserve"> D$1 * (-D35) + E$1 * (-E35) + F$1 * (-F35) + G$1 * (-G35) + H$1 * (-H35) + I$1 * (-I35) + J$1 * (-J35) + K$1 * (-K35)</f>
        <v>40.674000000000007</v>
      </c>
    </row>
    <row r="36" spans="1:12" ht="24" customHeight="1" x14ac:dyDescent="0.4">
      <c r="A36" s="101">
        <f>L36</f>
        <v>40.496000000000002</v>
      </c>
      <c r="B36" s="125" t="s">
        <v>92</v>
      </c>
      <c r="C36" s="89">
        <v>9120</v>
      </c>
      <c r="D36" s="68">
        <v>-34.799999999999997</v>
      </c>
      <c r="E36" s="76">
        <v>-53</v>
      </c>
      <c r="F36" s="79">
        <v>-45.6</v>
      </c>
      <c r="G36" s="76">
        <v>-48.4</v>
      </c>
      <c r="H36" s="68">
        <v>-33.700000000000003</v>
      </c>
      <c r="I36" s="79">
        <v>2.4</v>
      </c>
      <c r="J36" s="76">
        <v>-64.400000000000006</v>
      </c>
      <c r="K36" s="84">
        <v>-12</v>
      </c>
      <c r="L36" s="135">
        <f xml:space="preserve"> D$1 * (-D36) + E$1 * (-E36) + F$1 * (-F36) + G$1 * (-G36) + H$1 * (-H36) + I$1 * (-I36) + J$1 * (-J36) + K$1 * (-K36)</f>
        <v>40.496000000000002</v>
      </c>
    </row>
    <row r="37" spans="1:12" ht="24" customHeight="1" x14ac:dyDescent="0.4">
      <c r="A37" s="101">
        <f>L37</f>
        <v>40.383000000000003</v>
      </c>
      <c r="B37" s="127" t="s">
        <v>165</v>
      </c>
      <c r="C37" s="89">
        <v>9120</v>
      </c>
      <c r="D37" s="68">
        <v>-36.799999999999997</v>
      </c>
      <c r="E37" s="76">
        <v>-48.9</v>
      </c>
      <c r="F37" s="79">
        <v>-47.9</v>
      </c>
      <c r="G37" s="76">
        <v>-44.6</v>
      </c>
      <c r="H37" s="68">
        <v>-36.200000000000003</v>
      </c>
      <c r="I37" s="79">
        <v>-1.1000000000000001</v>
      </c>
      <c r="J37" s="76">
        <v>-55.3</v>
      </c>
      <c r="K37" s="84">
        <v>-18.100000000000001</v>
      </c>
      <c r="L37" s="135">
        <f xml:space="preserve"> D$1 * (-D37) + E$1 * (-E37) + F$1 * (-F37) + G$1 * (-G37) + H$1 * (-H37) + I$1 * (-I37) + J$1 * (-J37) + K$1 * (-K37)</f>
        <v>40.383000000000003</v>
      </c>
    </row>
    <row r="38" spans="1:12" ht="24" customHeight="1" x14ac:dyDescent="0.4">
      <c r="A38" s="101">
        <f>L38</f>
        <v>39.676000000000002</v>
      </c>
      <c r="B38" s="125" t="s">
        <v>172</v>
      </c>
      <c r="C38" s="89">
        <v>9120</v>
      </c>
      <c r="D38" s="68">
        <v>-34</v>
      </c>
      <c r="E38" s="76">
        <v>-51.5</v>
      </c>
      <c r="F38" s="79">
        <v>-46.2</v>
      </c>
      <c r="G38" s="76">
        <v>-47.7</v>
      </c>
      <c r="H38" s="68">
        <v>-32</v>
      </c>
      <c r="I38" s="79">
        <v>-1.2</v>
      </c>
      <c r="J38" s="76">
        <v>-60</v>
      </c>
      <c r="K38" s="84">
        <v>-7.8</v>
      </c>
      <c r="L38" s="135">
        <f xml:space="preserve"> D$1 * (-D38) + E$1 * (-E38) + F$1 * (-F38) + G$1 * (-G38) + H$1 * (-H38) + I$1 * (-I38) + J$1 * (-J38) + K$1 * (-K38)</f>
        <v>39.676000000000002</v>
      </c>
    </row>
    <row r="39" spans="1:12" ht="24" customHeight="1" x14ac:dyDescent="0.4">
      <c r="A39" s="101">
        <f>L39</f>
        <v>38.870999999999995</v>
      </c>
      <c r="B39" s="127" t="s">
        <v>180</v>
      </c>
      <c r="C39" s="89">
        <v>9120</v>
      </c>
      <c r="D39" s="68">
        <v>-35</v>
      </c>
      <c r="E39" s="76">
        <v>-48.3</v>
      </c>
      <c r="F39" s="79">
        <v>-44.3</v>
      </c>
      <c r="G39" s="76">
        <v>-42.2</v>
      </c>
      <c r="H39" s="68">
        <v>-32.9</v>
      </c>
      <c r="I39" s="79">
        <v>-6</v>
      </c>
      <c r="J39" s="76">
        <v>-57.8</v>
      </c>
      <c r="K39" s="84">
        <v>-13.7</v>
      </c>
      <c r="L39" s="135">
        <f xml:space="preserve"> D$1 * (-D39) + E$1 * (-E39) + F$1 * (-F39) + G$1 * (-G39) + H$1 * (-H39) + I$1 * (-I39) + J$1 * (-J39) + K$1 * (-K39)</f>
        <v>38.870999999999995</v>
      </c>
    </row>
    <row r="40" spans="1:12" ht="24" customHeight="1" x14ac:dyDescent="0.4">
      <c r="A40" s="101">
        <f>L40</f>
        <v>38.398999999999994</v>
      </c>
      <c r="B40" s="125" t="s">
        <v>111</v>
      </c>
      <c r="C40" s="89">
        <v>6190</v>
      </c>
      <c r="D40" s="68">
        <v>-35.9</v>
      </c>
      <c r="E40" s="76">
        <v>-50.7</v>
      </c>
      <c r="F40" s="79">
        <v>-40.9</v>
      </c>
      <c r="G40" s="76">
        <v>-37.299999999999997</v>
      </c>
      <c r="H40" s="68">
        <v>-33.200000000000003</v>
      </c>
      <c r="I40" s="79">
        <v>-3.7</v>
      </c>
      <c r="J40" s="76">
        <v>-56.2</v>
      </c>
      <c r="K40" s="84">
        <v>-8.9</v>
      </c>
      <c r="L40" s="135">
        <f xml:space="preserve"> D$1 * (-D40) + E$1 * (-E40) + F$1 * (-F40) + G$1 * (-G40) + H$1 * (-H40) + I$1 * (-I40) + J$1 * (-J40) + K$1 * (-K40)</f>
        <v>38.398999999999994</v>
      </c>
    </row>
    <row r="41" spans="1:12" ht="24" customHeight="1" x14ac:dyDescent="0.4">
      <c r="A41" s="101">
        <f>L41</f>
        <v>38.265000000000001</v>
      </c>
      <c r="B41" s="125" t="s">
        <v>112</v>
      </c>
      <c r="C41" s="89">
        <v>6190</v>
      </c>
      <c r="D41" s="68">
        <v>-35.5</v>
      </c>
      <c r="E41" s="76">
        <v>-51.9</v>
      </c>
      <c r="F41" s="79">
        <v>-41.1</v>
      </c>
      <c r="G41" s="76">
        <v>-34.5</v>
      </c>
      <c r="H41" s="68">
        <v>-32.9</v>
      </c>
      <c r="I41" s="79">
        <v>-5</v>
      </c>
      <c r="J41" s="76">
        <v>-56.1</v>
      </c>
      <c r="K41" s="84">
        <v>-7.9</v>
      </c>
      <c r="L41" s="135">
        <f xml:space="preserve"> D$1 * (-D41) + E$1 * (-E41) + F$1 * (-F41) + G$1 * (-G41) + H$1 * (-H41) + I$1 * (-I41) + J$1 * (-J41) + K$1 * (-K41)</f>
        <v>38.265000000000001</v>
      </c>
    </row>
    <row r="42" spans="1:12" ht="24" customHeight="1" x14ac:dyDescent="0.4">
      <c r="A42" s="101">
        <f>L42</f>
        <v>38.071000000000005</v>
      </c>
      <c r="B42" s="100" t="s">
        <v>113</v>
      </c>
      <c r="C42" s="89">
        <v>6190</v>
      </c>
      <c r="D42" s="68">
        <v>-35.4</v>
      </c>
      <c r="E42" s="76">
        <v>-48.5</v>
      </c>
      <c r="F42" s="79">
        <v>-41</v>
      </c>
      <c r="G42" s="76">
        <v>-36</v>
      </c>
      <c r="H42" s="68">
        <v>-32.4</v>
      </c>
      <c r="I42" s="79">
        <v>-15.3</v>
      </c>
      <c r="J42" s="76">
        <v>-55.6</v>
      </c>
      <c r="K42" s="84">
        <v>-4.7</v>
      </c>
      <c r="L42" s="135">
        <f xml:space="preserve"> D$1 * (-D42) + E$1 * (-E42) + F$1 * (-F42) + G$1 * (-G42) + H$1 * (-H42) + I$1 * (-I42) + J$1 * (-J42) + K$1 * (-K42)</f>
        <v>38.071000000000005</v>
      </c>
    </row>
    <row r="43" spans="1:12" ht="24" customHeight="1" x14ac:dyDescent="0.4">
      <c r="A43" s="101">
        <f>L43</f>
        <v>36.591999999999999</v>
      </c>
      <c r="B43" s="125" t="s">
        <v>52</v>
      </c>
      <c r="C43" s="89">
        <v>6190</v>
      </c>
      <c r="D43" s="68">
        <v>-33.200000000000003</v>
      </c>
      <c r="E43" s="76">
        <v>-49.4</v>
      </c>
      <c r="F43" s="79">
        <v>-40</v>
      </c>
      <c r="G43" s="76">
        <v>-34.5</v>
      </c>
      <c r="H43" s="68">
        <v>-30.8</v>
      </c>
      <c r="I43" s="79">
        <v>-4.4000000000000004</v>
      </c>
      <c r="J43" s="76">
        <v>-56.4</v>
      </c>
      <c r="K43" s="84">
        <v>-6.9</v>
      </c>
      <c r="L43" s="135">
        <f xml:space="preserve"> D$1 * (-D43) + E$1 * (-E43) + F$1 * (-F43) + G$1 * (-G43) + H$1 * (-H43) + I$1 * (-I43) + J$1 * (-J43) + K$1 * (-K43)</f>
        <v>36.591999999999999</v>
      </c>
    </row>
    <row r="44" spans="1:12" ht="24" customHeight="1" x14ac:dyDescent="0.4">
      <c r="A44" s="101">
        <f>L44</f>
        <v>36.019000000000005</v>
      </c>
      <c r="B44" s="125" t="s">
        <v>106</v>
      </c>
      <c r="C44" s="89">
        <v>9120</v>
      </c>
      <c r="D44" s="68">
        <v>-32.299999999999997</v>
      </c>
      <c r="E44" s="76">
        <v>-48.7</v>
      </c>
      <c r="F44" s="79">
        <v>-40</v>
      </c>
      <c r="G44" s="76">
        <v>-34.4</v>
      </c>
      <c r="H44" s="68">
        <v>-29.7</v>
      </c>
      <c r="I44" s="79">
        <v>-4.4000000000000004</v>
      </c>
      <c r="J44" s="76">
        <v>-56.4</v>
      </c>
      <c r="K44" s="84">
        <v>-5.9</v>
      </c>
      <c r="L44" s="135">
        <f xml:space="preserve"> D$1 * (-D44) + E$1 * (-E44) + F$1 * (-F44) + G$1 * (-G44) + H$1 * (-H44) + I$1 * (-I44) + J$1 * (-J44) + K$1 * (-K44)</f>
        <v>36.019000000000005</v>
      </c>
    </row>
    <row r="45" spans="1:12" ht="24" customHeight="1" x14ac:dyDescent="0.4">
      <c r="A45" s="101">
        <f>L45</f>
        <v>35.296000000000006</v>
      </c>
      <c r="B45" s="126" t="s">
        <v>100</v>
      </c>
      <c r="C45" s="89">
        <v>9120</v>
      </c>
      <c r="D45" s="68">
        <v>-32.4</v>
      </c>
      <c r="E45" s="76">
        <v>-45.2</v>
      </c>
      <c r="F45" s="79">
        <v>-40.1</v>
      </c>
      <c r="G45" s="76">
        <v>-36.9</v>
      </c>
      <c r="H45" s="68">
        <v>-29.2</v>
      </c>
      <c r="I45" s="79">
        <v>-4.5</v>
      </c>
      <c r="J45" s="76">
        <v>-50.4</v>
      </c>
      <c r="K45" s="84">
        <v>-6.5</v>
      </c>
      <c r="L45" s="135">
        <f xml:space="preserve"> D$1 * (-D45) + E$1 * (-E45) + F$1 * (-F45) + G$1 * (-G45) + H$1 * (-H45) + I$1 * (-I45) + J$1 * (-J45) + K$1 * (-K45)</f>
        <v>35.296000000000006</v>
      </c>
    </row>
    <row r="46" spans="1:12" ht="24" customHeight="1" x14ac:dyDescent="0.4">
      <c r="A46" s="101">
        <f>L46</f>
        <v>34.978000000000002</v>
      </c>
      <c r="B46" s="125" t="s">
        <v>166</v>
      </c>
      <c r="C46" s="89">
        <v>6190</v>
      </c>
      <c r="D46" s="68">
        <v>-32.4</v>
      </c>
      <c r="E46" s="76">
        <v>-45.7</v>
      </c>
      <c r="F46" s="79">
        <v>-38.9</v>
      </c>
      <c r="G46" s="76">
        <v>-31.7</v>
      </c>
      <c r="H46" s="68">
        <v>-30</v>
      </c>
      <c r="I46" s="79">
        <v>-7.8</v>
      </c>
      <c r="J46" s="76">
        <v>-52.3</v>
      </c>
      <c r="K46" s="84">
        <v>-4.4000000000000004</v>
      </c>
      <c r="L46" s="135">
        <f xml:space="preserve"> D$1 * (-D46) + E$1 * (-E46) + F$1 * (-F46) + G$1 * (-G46) + H$1 * (-H46) + I$1 * (-I46) + J$1 * (-J46) + K$1 * (-K46)</f>
        <v>34.978000000000002</v>
      </c>
    </row>
    <row r="47" spans="1:12" ht="24" customHeight="1" x14ac:dyDescent="0.4">
      <c r="A47" s="101">
        <f>L47</f>
        <v>34.797000000000004</v>
      </c>
      <c r="B47" s="126" t="s">
        <v>76</v>
      </c>
      <c r="C47" s="89">
        <v>6190</v>
      </c>
      <c r="D47" s="68">
        <v>-32.299999999999997</v>
      </c>
      <c r="E47" s="76">
        <v>-43.7</v>
      </c>
      <c r="F47" s="79">
        <v>-39.4</v>
      </c>
      <c r="G47" s="76">
        <v>-33.4</v>
      </c>
      <c r="H47" s="68">
        <v>-29.4</v>
      </c>
      <c r="I47" s="79">
        <v>-12</v>
      </c>
      <c r="J47" s="76">
        <v>-49.6</v>
      </c>
      <c r="K47" s="84">
        <v>-3.5</v>
      </c>
      <c r="L47" s="135">
        <f xml:space="preserve"> D$1 * (-D47) + E$1 * (-E47) + F$1 * (-F47) + G$1 * (-G47) + H$1 * (-H47) + I$1 * (-I47) + J$1 * (-J47) + K$1 * (-K47)</f>
        <v>34.797000000000004</v>
      </c>
    </row>
    <row r="48" spans="1:12" ht="24" customHeight="1" x14ac:dyDescent="0.4">
      <c r="A48" s="101">
        <f>L48</f>
        <v>34.576999999999998</v>
      </c>
      <c r="B48" s="126" t="s">
        <v>167</v>
      </c>
      <c r="C48" s="89">
        <v>9120</v>
      </c>
      <c r="D48" s="68">
        <v>-31.5</v>
      </c>
      <c r="E48" s="76">
        <v>-45.3</v>
      </c>
      <c r="F48" s="79">
        <v>-40</v>
      </c>
      <c r="G48" s="76">
        <v>-34.9</v>
      </c>
      <c r="H48" s="68">
        <v>-28.5</v>
      </c>
      <c r="I48" s="79">
        <v>0.6</v>
      </c>
      <c r="J48" s="76">
        <v>-53</v>
      </c>
      <c r="K48" s="84">
        <v>-5.0999999999999996</v>
      </c>
      <c r="L48" s="135">
        <f xml:space="preserve"> D$1 * (-D48) + E$1 * (-E48) + F$1 * (-F48) + G$1 * (-G48) + H$1 * (-H48) + I$1 * (-I48) + J$1 * (-J48) + K$1 * (-K48)</f>
        <v>34.576999999999998</v>
      </c>
    </row>
    <row r="49" spans="1:12" ht="24" customHeight="1" x14ac:dyDescent="0.4">
      <c r="A49" s="101">
        <f>L49</f>
        <v>34.329000000000001</v>
      </c>
      <c r="B49" s="125" t="s">
        <v>78</v>
      </c>
      <c r="C49" s="89">
        <v>6190</v>
      </c>
      <c r="D49" s="68">
        <v>-30.4</v>
      </c>
      <c r="E49" s="76">
        <v>-44.5</v>
      </c>
      <c r="F49" s="79">
        <v>-40.200000000000003</v>
      </c>
      <c r="G49" s="76">
        <v>-34.9</v>
      </c>
      <c r="H49" s="68">
        <v>-27.9</v>
      </c>
      <c r="I49" s="79">
        <v>-5.7</v>
      </c>
      <c r="J49" s="76">
        <v>-54</v>
      </c>
      <c r="K49" s="84">
        <v>-2.6</v>
      </c>
      <c r="L49" s="135">
        <f xml:space="preserve"> D$1 * (-D49) + E$1 * (-E49) + F$1 * (-F49) + G$1 * (-G49) + H$1 * (-H49) + I$1 * (-I49) + J$1 * (-J49) + K$1 * (-K49)</f>
        <v>34.329000000000001</v>
      </c>
    </row>
    <row r="50" spans="1:12" ht="24" customHeight="1" x14ac:dyDescent="0.4">
      <c r="A50" s="101">
        <f>L50</f>
        <v>33.935000000000002</v>
      </c>
      <c r="B50" s="125" t="s">
        <v>105</v>
      </c>
      <c r="C50" s="89">
        <v>6190</v>
      </c>
      <c r="D50" s="68">
        <v>-30.2</v>
      </c>
      <c r="E50" s="76">
        <v>-47.1</v>
      </c>
      <c r="F50" s="79">
        <v>-38.700000000000003</v>
      </c>
      <c r="G50" s="76">
        <v>-31.7</v>
      </c>
      <c r="H50" s="68">
        <v>-28.1</v>
      </c>
      <c r="I50" s="79">
        <v>0.5</v>
      </c>
      <c r="J50" s="76">
        <v>-52.5</v>
      </c>
      <c r="K50" s="84">
        <v>-6.1</v>
      </c>
      <c r="L50" s="135">
        <f xml:space="preserve"> D$1 * (-D50) + E$1 * (-E50) + F$1 * (-F50) + G$1 * (-G50) + H$1 * (-H50) + I$1 * (-I50) + J$1 * (-J50) + K$1 * (-K50)</f>
        <v>33.935000000000002</v>
      </c>
    </row>
    <row r="51" spans="1:12" ht="24" customHeight="1" x14ac:dyDescent="0.4">
      <c r="A51" s="101">
        <f>L51</f>
        <v>33.923000000000002</v>
      </c>
      <c r="B51" s="125" t="s">
        <v>104</v>
      </c>
      <c r="C51" s="89">
        <v>9120</v>
      </c>
      <c r="D51" s="68">
        <v>-29.8</v>
      </c>
      <c r="E51" s="76">
        <v>-46.1</v>
      </c>
      <c r="F51" s="79">
        <v>-38.700000000000003</v>
      </c>
      <c r="G51" s="76">
        <v>-31.5</v>
      </c>
      <c r="H51" s="68">
        <v>-28.2</v>
      </c>
      <c r="I51" s="79">
        <v>-4.9000000000000004</v>
      </c>
      <c r="J51" s="76">
        <v>-53.9</v>
      </c>
      <c r="K51" s="84">
        <v>-6.1</v>
      </c>
      <c r="L51" s="135">
        <f xml:space="preserve"> D$1 * (-D51) + E$1 * (-E51) + F$1 * (-F51) + G$1 * (-G51) + H$1 * (-H51) + I$1 * (-I51) + J$1 * (-J51) + K$1 * (-K51)</f>
        <v>33.923000000000002</v>
      </c>
    </row>
    <row r="52" spans="1:12" ht="24" customHeight="1" x14ac:dyDescent="0.4">
      <c r="A52" s="101">
        <f>L52</f>
        <v>33.673000000000002</v>
      </c>
      <c r="B52" s="126" t="s">
        <v>76</v>
      </c>
      <c r="C52" s="89">
        <v>9120</v>
      </c>
      <c r="D52" s="68">
        <v>-31.3</v>
      </c>
      <c r="E52" s="76">
        <v>-42</v>
      </c>
      <c r="F52" s="79">
        <v>-39.4</v>
      </c>
      <c r="G52" s="76">
        <v>-30.9</v>
      </c>
      <c r="H52" s="68">
        <v>-27.5</v>
      </c>
      <c r="I52" s="79">
        <v>-12</v>
      </c>
      <c r="J52" s="76">
        <v>-49.6</v>
      </c>
      <c r="K52" s="84">
        <v>-1.9</v>
      </c>
      <c r="L52" s="135">
        <f xml:space="preserve"> D$1 * (-D52) + E$1 * (-E52) + F$1 * (-F52) + G$1 * (-G52) + H$1 * (-H52) + I$1 * (-I52) + J$1 * (-J52) + K$1 * (-K52)</f>
        <v>33.673000000000002</v>
      </c>
    </row>
    <row r="53" spans="1:12" ht="24" customHeight="1" x14ac:dyDescent="0.4">
      <c r="A53" s="101">
        <f>L53</f>
        <v>33.536000000000001</v>
      </c>
      <c r="B53" s="125" t="s">
        <v>166</v>
      </c>
      <c r="C53" s="89">
        <v>9120</v>
      </c>
      <c r="D53" s="68">
        <v>-31</v>
      </c>
      <c r="E53" s="76">
        <v>-42.6</v>
      </c>
      <c r="F53" s="79">
        <v>-38.9</v>
      </c>
      <c r="G53" s="76">
        <v>-30.6</v>
      </c>
      <c r="H53" s="68">
        <v>-27.7</v>
      </c>
      <c r="I53" s="79">
        <v>-7.8</v>
      </c>
      <c r="J53" s="76">
        <v>-52.3</v>
      </c>
      <c r="K53" s="84">
        <v>-2.5</v>
      </c>
      <c r="L53" s="135">
        <f xml:space="preserve"> D$1 * (-D53) + E$1 * (-E53) + F$1 * (-F53) + G$1 * (-G53) + H$1 * (-H53) + I$1 * (-I53) + J$1 * (-J53) + K$1 * (-K53)</f>
        <v>33.536000000000001</v>
      </c>
    </row>
    <row r="54" spans="1:12" ht="24" customHeight="1" x14ac:dyDescent="0.4">
      <c r="A54" s="101">
        <f>L54</f>
        <v>33.497000000000007</v>
      </c>
      <c r="B54" s="125" t="s">
        <v>109</v>
      </c>
      <c r="C54" s="89">
        <v>9120</v>
      </c>
      <c r="D54" s="68">
        <v>-29.4</v>
      </c>
      <c r="E54" s="76">
        <v>-44.4</v>
      </c>
      <c r="F54" s="79">
        <v>-39.299999999999997</v>
      </c>
      <c r="G54" s="76">
        <v>-33.200000000000003</v>
      </c>
      <c r="H54" s="68">
        <v>-27.3</v>
      </c>
      <c r="I54" s="79">
        <v>-3.4</v>
      </c>
      <c r="J54" s="76">
        <v>-53.4</v>
      </c>
      <c r="K54" s="84">
        <v>-4.4000000000000004</v>
      </c>
      <c r="L54" s="135">
        <f xml:space="preserve"> D$1 * (-D54) + E$1 * (-E54) + F$1 * (-F54) + G$1 * (-G54) + H$1 * (-H54) + I$1 * (-I54) + J$1 * (-J54) + K$1 * (-K54)</f>
        <v>33.497000000000007</v>
      </c>
    </row>
    <row r="55" spans="1:12" ht="24" customHeight="1" x14ac:dyDescent="0.4">
      <c r="A55" s="101">
        <f>L55</f>
        <v>32.835000000000001</v>
      </c>
      <c r="B55" s="125" t="s">
        <v>72</v>
      </c>
      <c r="C55" s="89">
        <v>6190</v>
      </c>
      <c r="D55" s="68">
        <v>-28.4</v>
      </c>
      <c r="E55" s="76">
        <v>-44.5</v>
      </c>
      <c r="F55" s="79">
        <v>-36.299999999999997</v>
      </c>
      <c r="G55" s="76">
        <v>-37.799999999999997</v>
      </c>
      <c r="H55" s="68">
        <v>-26</v>
      </c>
      <c r="I55" s="79">
        <v>-0.7</v>
      </c>
      <c r="J55" s="76">
        <v>-51.5</v>
      </c>
      <c r="K55" s="84">
        <v>-4</v>
      </c>
      <c r="L55" s="135">
        <f xml:space="preserve"> D$1 * (-D55) + E$1 * (-E55) + F$1 * (-F55) + G$1 * (-G55) + H$1 * (-H55) + I$1 * (-I55) + J$1 * (-J55) + K$1 * (-K55)</f>
        <v>32.835000000000001</v>
      </c>
    </row>
    <row r="56" spans="1:12" ht="24" customHeight="1" x14ac:dyDescent="0.4">
      <c r="A56" s="101">
        <f>L56</f>
        <v>32.586000000000006</v>
      </c>
      <c r="B56" s="125" t="s">
        <v>78</v>
      </c>
      <c r="C56" s="89">
        <v>9120</v>
      </c>
      <c r="D56" s="68">
        <v>-28.7</v>
      </c>
      <c r="E56" s="76">
        <v>-41.1</v>
      </c>
      <c r="F56" s="79">
        <v>-40.200000000000003</v>
      </c>
      <c r="G56" s="76">
        <v>-32.6</v>
      </c>
      <c r="H56" s="68">
        <v>-25.4</v>
      </c>
      <c r="I56" s="79">
        <v>-5.7</v>
      </c>
      <c r="J56" s="76">
        <v>-54</v>
      </c>
      <c r="K56" s="84">
        <v>-0.7</v>
      </c>
      <c r="L56" s="135">
        <f xml:space="preserve"> D$1 * (-D56) + E$1 * (-E56) + F$1 * (-F56) + G$1 * (-G56) + H$1 * (-H56) + I$1 * (-I56) + J$1 * (-J56) + K$1 * (-K56)</f>
        <v>32.586000000000006</v>
      </c>
    </row>
    <row r="57" spans="1:12" ht="24" customHeight="1" x14ac:dyDescent="0.4">
      <c r="A57" s="101">
        <f>L57</f>
        <v>32.410999999999994</v>
      </c>
      <c r="B57" s="72" t="s">
        <v>70</v>
      </c>
      <c r="C57" s="89">
        <v>6190</v>
      </c>
      <c r="D57" s="68">
        <v>-29.4</v>
      </c>
      <c r="E57" s="76">
        <v>-44.8</v>
      </c>
      <c r="F57" s="79">
        <v>-36</v>
      </c>
      <c r="G57" s="76">
        <v>-28.2</v>
      </c>
      <c r="H57" s="68">
        <v>-27.1</v>
      </c>
      <c r="I57" s="79">
        <v>-3.3</v>
      </c>
      <c r="J57" s="76">
        <v>-50.2</v>
      </c>
      <c r="K57" s="84">
        <v>-4.9000000000000004</v>
      </c>
      <c r="L57" s="135">
        <f xml:space="preserve"> D$1 * (-D57) + E$1 * (-E57) + F$1 * (-F57) + G$1 * (-G57) + H$1 * (-H57) + I$1 * (-I57) + J$1 * (-J57) + K$1 * (-K57)</f>
        <v>32.410999999999994</v>
      </c>
    </row>
    <row r="58" spans="1:12" ht="24" customHeight="1" x14ac:dyDescent="0.4">
      <c r="A58" s="101">
        <f>L58</f>
        <v>32.398000000000003</v>
      </c>
      <c r="B58" s="125" t="s">
        <v>72</v>
      </c>
      <c r="C58" s="89">
        <v>9120</v>
      </c>
      <c r="D58" s="68">
        <v>-27.9</v>
      </c>
      <c r="E58" s="76">
        <v>-44.2</v>
      </c>
      <c r="F58" s="79">
        <v>-36.299999999999997</v>
      </c>
      <c r="G58" s="76">
        <v>-36.5</v>
      </c>
      <c r="H58" s="68">
        <v>-25.3</v>
      </c>
      <c r="I58" s="79">
        <v>-0.7</v>
      </c>
      <c r="J58" s="76">
        <v>-51.5</v>
      </c>
      <c r="K58" s="84">
        <v>-3.2</v>
      </c>
      <c r="L58" s="135">
        <f xml:space="preserve"> D$1 * (-D58) + E$1 * (-E58) + F$1 * (-F58) + G$1 * (-G58) + H$1 * (-H58) + I$1 * (-I58) + J$1 * (-J58) + K$1 * (-K58)</f>
        <v>32.398000000000003</v>
      </c>
    </row>
    <row r="59" spans="1:12" ht="24" customHeight="1" x14ac:dyDescent="0.4">
      <c r="A59" s="101">
        <f>L59</f>
        <v>31.989000000000004</v>
      </c>
      <c r="B59" s="72" t="s">
        <v>70</v>
      </c>
      <c r="C59" s="89" t="s">
        <v>159</v>
      </c>
      <c r="D59" s="68">
        <v>-28.4</v>
      </c>
      <c r="E59" s="76">
        <v>-45.3</v>
      </c>
      <c r="F59" s="79">
        <v>-36</v>
      </c>
      <c r="G59" s="76">
        <v>-27.6</v>
      </c>
      <c r="H59" s="68">
        <v>-26</v>
      </c>
      <c r="I59" s="79">
        <v>-3.3</v>
      </c>
      <c r="J59" s="76">
        <v>-50.2</v>
      </c>
      <c r="K59" s="84">
        <v>-3.7</v>
      </c>
      <c r="L59" s="135">
        <f xml:space="preserve"> D$1 * (-D59) + E$1 * (-E59) + F$1 * (-F59) + G$1 * (-G59) + H$1 * (-H59) + I$1 * (-I59) + J$1 * (-J59) + K$1 * (-K59)</f>
        <v>31.989000000000004</v>
      </c>
    </row>
    <row r="60" spans="1:12" ht="24" customHeight="1" x14ac:dyDescent="0.4">
      <c r="A60" s="101">
        <f>L60</f>
        <v>31.725000000000001</v>
      </c>
      <c r="B60" s="72" t="s">
        <v>70</v>
      </c>
      <c r="C60" s="89">
        <v>9120</v>
      </c>
      <c r="D60" s="68">
        <v>-28.2</v>
      </c>
      <c r="E60" s="76">
        <v>-44.6</v>
      </c>
      <c r="F60" s="79">
        <v>-36</v>
      </c>
      <c r="G60" s="76">
        <v>-27.3</v>
      </c>
      <c r="H60" s="68">
        <v>-25.7</v>
      </c>
      <c r="I60" s="79">
        <v>-3.3</v>
      </c>
      <c r="J60" s="76">
        <v>-50.2</v>
      </c>
      <c r="K60" s="84">
        <v>-3.7</v>
      </c>
      <c r="L60" s="135">
        <f xml:space="preserve"> D$1 * (-D60) + E$1 * (-E60) + F$1 * (-F60) + G$1 * (-G60) + H$1 * (-H60) + I$1 * (-I60) + J$1 * (-J60) + K$1 * (-K60)</f>
        <v>31.725000000000001</v>
      </c>
    </row>
    <row r="61" spans="1:12" ht="24" customHeight="1" x14ac:dyDescent="0.4">
      <c r="A61" s="101">
        <f>L61</f>
        <v>31.53</v>
      </c>
      <c r="B61" s="72" t="s">
        <v>96</v>
      </c>
      <c r="C61" s="89" t="s">
        <v>159</v>
      </c>
      <c r="D61" s="68">
        <v>-28</v>
      </c>
      <c r="E61" s="76">
        <v>-43.3</v>
      </c>
      <c r="F61" s="79">
        <v>-35.1</v>
      </c>
      <c r="G61" s="76">
        <v>-28.1</v>
      </c>
      <c r="H61" s="68">
        <v>-26</v>
      </c>
      <c r="I61" s="79">
        <v>-4.5999999999999996</v>
      </c>
      <c r="J61" s="76">
        <v>-52.3</v>
      </c>
      <c r="K61" s="84">
        <v>-3.5</v>
      </c>
      <c r="L61" s="135">
        <f xml:space="preserve"> D$1 * (-D61) + E$1 * (-E61) + F$1 * (-F61) + G$1 * (-G61) + H$1 * (-H61) + I$1 * (-I61) + J$1 * (-J61) + K$1 * (-K61)</f>
        <v>31.53</v>
      </c>
    </row>
    <row r="62" spans="1:12" ht="24" customHeight="1" x14ac:dyDescent="0.4">
      <c r="A62" s="101">
        <f>L62</f>
        <v>30.749000000000002</v>
      </c>
      <c r="B62" s="127" t="s">
        <v>177</v>
      </c>
      <c r="C62" s="89">
        <v>9120</v>
      </c>
      <c r="D62" s="68">
        <v>-25.5</v>
      </c>
      <c r="E62" s="76">
        <v>-42.4</v>
      </c>
      <c r="F62" s="79">
        <v>-37</v>
      </c>
      <c r="G62" s="76">
        <v>-34.6</v>
      </c>
      <c r="H62" s="68">
        <v>-23.3</v>
      </c>
      <c r="I62" s="79">
        <v>3.4</v>
      </c>
      <c r="J62" s="76">
        <v>-51.2</v>
      </c>
      <c r="K62" s="84">
        <v>-4</v>
      </c>
      <c r="L62" s="135">
        <f xml:space="preserve"> D$1 * (-D62) + E$1 * (-E62) + F$1 * (-F62) + G$1 * (-G62) + H$1 * (-H62) + I$1 * (-I62) + J$1 * (-J62) + K$1 * (-K62)</f>
        <v>30.749000000000002</v>
      </c>
    </row>
    <row r="63" spans="1:12" ht="24" customHeight="1" x14ac:dyDescent="0.4">
      <c r="A63" s="101">
        <f>L63</f>
        <v>30.484999999999999</v>
      </c>
      <c r="B63" s="127" t="s">
        <v>179</v>
      </c>
      <c r="C63" s="89">
        <v>9120</v>
      </c>
      <c r="D63" s="68">
        <v>-27</v>
      </c>
      <c r="E63" s="76">
        <v>-40.200000000000003</v>
      </c>
      <c r="F63" s="79">
        <v>-35.6</v>
      </c>
      <c r="G63" s="76">
        <v>-33.1</v>
      </c>
      <c r="H63" s="68">
        <v>-25.1</v>
      </c>
      <c r="I63" s="79">
        <v>5.7</v>
      </c>
      <c r="J63" s="76">
        <v>-49</v>
      </c>
      <c r="K63" s="84">
        <v>-8.6</v>
      </c>
      <c r="L63" s="135">
        <f xml:space="preserve"> D$1 * (-D63) + E$1 * (-E63) + F$1 * (-F63) + G$1 * (-G63) + H$1 * (-H63) + I$1 * (-I63) + J$1 * (-J63) + K$1 * (-K63)</f>
        <v>30.484999999999999</v>
      </c>
    </row>
    <row r="64" spans="1:12" ht="24" customHeight="1" x14ac:dyDescent="0.4">
      <c r="A64" s="101">
        <f>L64</f>
        <v>30.017000000000007</v>
      </c>
      <c r="B64" s="72" t="s">
        <v>89</v>
      </c>
      <c r="C64" s="89">
        <v>6190</v>
      </c>
      <c r="D64" s="68">
        <v>-26.1</v>
      </c>
      <c r="E64" s="76">
        <v>-39.9</v>
      </c>
      <c r="F64" s="79">
        <v>-37.5</v>
      </c>
      <c r="G64" s="76">
        <v>-28.5</v>
      </c>
      <c r="H64" s="68">
        <v>-24</v>
      </c>
      <c r="I64" s="79">
        <v>-1</v>
      </c>
      <c r="J64" s="76">
        <v>-48.5</v>
      </c>
      <c r="K64" s="84">
        <v>-1.6</v>
      </c>
      <c r="L64" s="135">
        <f xml:space="preserve"> D$1 * (-D64) + E$1 * (-E64) + F$1 * (-F64) + G$1 * (-G64) + H$1 * (-H64) + I$1 * (-I64) + J$1 * (-J64) + K$1 * (-K64)</f>
        <v>30.017000000000007</v>
      </c>
    </row>
    <row r="65" spans="1:12" ht="24" customHeight="1" x14ac:dyDescent="0.4">
      <c r="A65" s="101">
        <f>L65</f>
        <v>29.983000000000001</v>
      </c>
      <c r="B65" s="72" t="s">
        <v>74</v>
      </c>
      <c r="C65" s="89">
        <v>6190</v>
      </c>
      <c r="D65" s="68">
        <v>-26.3</v>
      </c>
      <c r="E65" s="76">
        <v>-40.799999999999997</v>
      </c>
      <c r="F65" s="79">
        <v>-34.5</v>
      </c>
      <c r="G65" s="76">
        <v>-29.7</v>
      </c>
      <c r="H65" s="68">
        <v>-23.4</v>
      </c>
      <c r="I65" s="79">
        <v>-0.7</v>
      </c>
      <c r="J65" s="76">
        <v>-49.6</v>
      </c>
      <c r="K65" s="84">
        <v>-4.3</v>
      </c>
      <c r="L65" s="135">
        <f xml:space="preserve"> D$1 * (-D65) + E$1 * (-E65) + F$1 * (-F65) + G$1 * (-G65) + H$1 * (-H65) + I$1 * (-I65) + J$1 * (-J65) + K$1 * (-K65)</f>
        <v>29.983000000000001</v>
      </c>
    </row>
    <row r="66" spans="1:12" ht="24" customHeight="1" x14ac:dyDescent="0.4">
      <c r="A66" s="101">
        <f>L66</f>
        <v>29.749000000000002</v>
      </c>
      <c r="B66" s="72" t="s">
        <v>74</v>
      </c>
      <c r="C66" s="89">
        <v>9120</v>
      </c>
      <c r="D66" s="68">
        <v>-26.3</v>
      </c>
      <c r="E66" s="76">
        <v>-40.6</v>
      </c>
      <c r="F66" s="79">
        <v>-34.5</v>
      </c>
      <c r="G66" s="76">
        <v>-28.1</v>
      </c>
      <c r="H66" s="68">
        <v>-23.1</v>
      </c>
      <c r="I66" s="79">
        <v>-0.7</v>
      </c>
      <c r="J66" s="76">
        <v>-49.6</v>
      </c>
      <c r="K66" s="84">
        <v>-3.8</v>
      </c>
      <c r="L66" s="135">
        <f xml:space="preserve"> D$1 * (-D66) + E$1 * (-E66) + F$1 * (-F66) + G$1 * (-G66) + H$1 * (-H66) + I$1 * (-I66) + J$1 * (-J66) + K$1 * (-K66)</f>
        <v>29.749000000000002</v>
      </c>
    </row>
    <row r="67" spans="1:12" ht="24" customHeight="1" x14ac:dyDescent="0.4">
      <c r="A67" s="101">
        <f>L67</f>
        <v>29.742000000000001</v>
      </c>
      <c r="B67" s="125" t="s">
        <v>175</v>
      </c>
      <c r="C67" s="89">
        <v>6190</v>
      </c>
      <c r="D67" s="68">
        <v>-25.9</v>
      </c>
      <c r="E67" s="76">
        <v>-41.9</v>
      </c>
      <c r="F67" s="79">
        <v>-33.1</v>
      </c>
      <c r="G67" s="76">
        <v>-29.4</v>
      </c>
      <c r="H67" s="68">
        <v>-23.5</v>
      </c>
      <c r="I67" s="79">
        <v>0.4</v>
      </c>
      <c r="J67" s="76">
        <v>-49.6</v>
      </c>
      <c r="K67" s="84">
        <v>-2.6</v>
      </c>
      <c r="L67" s="135">
        <f xml:space="preserve"> D$1 * (-D67) + E$1 * (-E67) + F$1 * (-F67) + G$1 * (-G67) + H$1 * (-H67) + I$1 * (-I67) + J$1 * (-J67) + K$1 * (-K67)</f>
        <v>29.742000000000001</v>
      </c>
    </row>
    <row r="68" spans="1:12" ht="24" customHeight="1" x14ac:dyDescent="0.4">
      <c r="A68" s="101">
        <f>L68</f>
        <v>28.883000000000003</v>
      </c>
      <c r="B68" s="72" t="s">
        <v>89</v>
      </c>
      <c r="C68" s="89">
        <v>9120</v>
      </c>
      <c r="D68" s="68">
        <v>-24.9</v>
      </c>
      <c r="E68" s="76">
        <v>-37.4</v>
      </c>
      <c r="F68" s="79">
        <v>-37.5</v>
      </c>
      <c r="G68" s="76">
        <v>-28</v>
      </c>
      <c r="H68" s="68">
        <v>-22.3</v>
      </c>
      <c r="I68" s="79">
        <v>-1</v>
      </c>
      <c r="J68" s="76">
        <v>-48.5</v>
      </c>
      <c r="K68" s="84">
        <v>-0.2</v>
      </c>
      <c r="L68" s="135">
        <f xml:space="preserve"> D$1 * (-D68) + E$1 * (-E68) + F$1 * (-F68) + G$1 * (-G68) + H$1 * (-H68) + I$1 * (-I68) + J$1 * (-J68) + K$1 * (-K68)</f>
        <v>28.883000000000003</v>
      </c>
    </row>
    <row r="69" spans="1:12" ht="24" customHeight="1" x14ac:dyDescent="0.4">
      <c r="A69" s="101">
        <f>L69</f>
        <v>28.699000000000002</v>
      </c>
      <c r="B69" s="125" t="s">
        <v>175</v>
      </c>
      <c r="C69" s="89">
        <v>9120</v>
      </c>
      <c r="D69" s="68">
        <v>-24.6</v>
      </c>
      <c r="E69" s="76">
        <v>-40.5</v>
      </c>
      <c r="F69" s="79">
        <v>-33.1</v>
      </c>
      <c r="G69" s="76">
        <v>-28.1</v>
      </c>
      <c r="H69" s="68">
        <v>-21.7</v>
      </c>
      <c r="I69" s="79">
        <v>0.4</v>
      </c>
      <c r="J69" s="76">
        <v>-49.6</v>
      </c>
      <c r="K69" s="84">
        <v>-0.9</v>
      </c>
      <c r="L69" s="135">
        <f xml:space="preserve"> D$1 * (-D69) + E$1 * (-E69) + F$1 * (-F69) + G$1 * (-G69) + H$1 * (-H69) + I$1 * (-I69) + J$1 * (-J69) + K$1 * (-K69)</f>
        <v>28.699000000000002</v>
      </c>
    </row>
    <row r="70" spans="1:12" ht="24" customHeight="1" x14ac:dyDescent="0.4">
      <c r="A70" s="101">
        <f>L70</f>
        <v>28.425999999999995</v>
      </c>
      <c r="B70" s="125" t="s">
        <v>150</v>
      </c>
      <c r="C70" s="89" t="s">
        <v>149</v>
      </c>
      <c r="D70" s="68">
        <v>-24</v>
      </c>
      <c r="E70" s="76">
        <v>-38.799999999999997</v>
      </c>
      <c r="F70" s="79">
        <v>-33</v>
      </c>
      <c r="G70" s="76">
        <v>-28.5</v>
      </c>
      <c r="H70" s="68">
        <v>-21.3</v>
      </c>
      <c r="I70" s="79">
        <v>-0.4</v>
      </c>
      <c r="J70" s="76">
        <v>-54.4</v>
      </c>
      <c r="K70" s="84">
        <v>-1.1000000000000001</v>
      </c>
      <c r="L70" s="135">
        <f xml:space="preserve"> D$1 * (-D70) + E$1 * (-E70) + F$1 * (-F70) + G$1 * (-G70) + H$1 * (-H70) + I$1 * (-I70) + J$1 * (-J70) + K$1 * (-K70)</f>
        <v>28.425999999999995</v>
      </c>
    </row>
    <row r="71" spans="1:12" ht="24" customHeight="1" x14ac:dyDescent="0.4">
      <c r="A71" s="102">
        <f>L71</f>
        <v>27.667999999999999</v>
      </c>
      <c r="B71" s="132" t="s">
        <v>148</v>
      </c>
      <c r="C71" s="91" t="s">
        <v>149</v>
      </c>
      <c r="D71" s="92">
        <v>-23.4</v>
      </c>
      <c r="E71" s="93">
        <v>-39.299999999999997</v>
      </c>
      <c r="F71" s="94">
        <v>-27.6</v>
      </c>
      <c r="G71" s="93">
        <v>-31.8</v>
      </c>
      <c r="H71" s="92">
        <v>-21.9</v>
      </c>
      <c r="I71" s="94">
        <v>-3.8</v>
      </c>
      <c r="J71" s="93">
        <v>-44.2</v>
      </c>
      <c r="K71" s="95">
        <v>-7.3</v>
      </c>
      <c r="L71" s="136">
        <f xml:space="preserve"> D$1 * (-D71) + E$1 * (-E71) + F$1 * (-F71) + G$1 * (-G71) + H$1 * (-H71) + I$1 * (-I71) + J$1 * (-J71) + K$1 * (-K71)</f>
        <v>27.667999999999999</v>
      </c>
    </row>
    <row r="72" spans="1:12" ht="24" customHeight="1" x14ac:dyDescent="0.4">
      <c r="A72" s="103">
        <f>L72</f>
        <v>27.293999999999997</v>
      </c>
      <c r="B72" s="133" t="s">
        <v>97</v>
      </c>
      <c r="C72" s="96">
        <v>9120</v>
      </c>
      <c r="D72" s="74">
        <v>-22.8</v>
      </c>
      <c r="E72" s="97">
        <v>-36.5</v>
      </c>
      <c r="F72" s="98">
        <v>-33</v>
      </c>
      <c r="G72" s="97">
        <v>-27.4</v>
      </c>
      <c r="H72" s="74">
        <v>-19.899999999999999</v>
      </c>
      <c r="I72" s="98">
        <v>-0.4</v>
      </c>
      <c r="J72" s="97">
        <v>-54.4</v>
      </c>
      <c r="K72" s="74">
        <v>0.4</v>
      </c>
      <c r="L72" s="137">
        <f xml:space="preserve"> D$1 * (-D72) + E$1 * (-E72) + F$1 * (-F72) + G$1 * (-G72) + H$1 * (-H72) + I$1 * (-I72) + J$1 * (-J72) + K$1 * (-K72)</f>
        <v>27.293999999999997</v>
      </c>
    </row>
    <row r="73" spans="1:12" ht="24" customHeight="1" x14ac:dyDescent="0.4">
      <c r="A73" s="103">
        <f>L73</f>
        <v>25.555</v>
      </c>
      <c r="B73" s="140" t="s">
        <v>99</v>
      </c>
      <c r="C73" s="96">
        <v>9120</v>
      </c>
      <c r="D73" s="74">
        <v>-21.3</v>
      </c>
      <c r="E73" s="97">
        <v>-37.9</v>
      </c>
      <c r="F73" s="98">
        <v>-30.5</v>
      </c>
      <c r="G73" s="97">
        <v>-25</v>
      </c>
      <c r="H73" s="74">
        <v>-18.8</v>
      </c>
      <c r="I73" s="98">
        <v>5</v>
      </c>
      <c r="J73" s="97">
        <v>-43.9</v>
      </c>
      <c r="K73" s="74">
        <v>0.2</v>
      </c>
      <c r="L73" s="137">
        <f xml:space="preserve"> D$1 * (-D73) + E$1 * (-E73) + F$1 * (-F73) + G$1 * (-G73) + H$1 * (-H73) + I$1 * (-I73) + J$1 * (-J73) + K$1 * (-K73)</f>
        <v>25.555</v>
      </c>
    </row>
    <row r="74" spans="1:12" ht="24" customHeight="1" x14ac:dyDescent="0.4">
      <c r="A74" s="103">
        <f>L74</f>
        <v>25.204999999999998</v>
      </c>
      <c r="B74" s="140" t="s">
        <v>151</v>
      </c>
      <c r="C74" s="96">
        <v>6190</v>
      </c>
      <c r="D74" s="74">
        <v>-21.7</v>
      </c>
      <c r="E74" s="97">
        <v>-34.9</v>
      </c>
      <c r="F74" s="98">
        <v>-30.5</v>
      </c>
      <c r="G74" s="97">
        <v>-24.9</v>
      </c>
      <c r="H74" s="74">
        <v>-19.899999999999999</v>
      </c>
      <c r="I74" s="98">
        <v>5</v>
      </c>
      <c r="J74" s="97">
        <v>-43.9</v>
      </c>
      <c r="K74" s="74">
        <v>-1.4</v>
      </c>
      <c r="L74" s="137">
        <f xml:space="preserve"> D$1 * (-D74) + E$1 * (-E74) + F$1 * (-F74) + G$1 * (-G74) + H$1 * (-H74) + I$1 * (-I74) + J$1 * (-J74) + K$1 * (-K74)</f>
        <v>25.204999999999998</v>
      </c>
    </row>
    <row r="75" spans="1:12" ht="24" customHeight="1" x14ac:dyDescent="0.4">
      <c r="A75" s="103">
        <f>L75</f>
        <v>25.062000000000005</v>
      </c>
      <c r="B75" s="99" t="s">
        <v>101</v>
      </c>
      <c r="C75" s="96">
        <v>9120</v>
      </c>
      <c r="D75" s="74">
        <v>-21.6</v>
      </c>
      <c r="E75" s="97">
        <v>-35.200000000000003</v>
      </c>
      <c r="F75" s="98">
        <v>-28.1</v>
      </c>
      <c r="G75" s="97">
        <v>-24.6</v>
      </c>
      <c r="H75" s="74">
        <v>-19.600000000000001</v>
      </c>
      <c r="I75" s="98">
        <v>-0.4</v>
      </c>
      <c r="J75" s="97">
        <v>-44.5</v>
      </c>
      <c r="K75" s="74">
        <v>1.3</v>
      </c>
      <c r="L75" s="137">
        <f xml:space="preserve"> D$1 * (-D75) + E$1 * (-E75) + F$1 * (-F75) + G$1 * (-G75) + H$1 * (-H75) + I$1 * (-I75) + J$1 * (-J75) + K$1 * (-K75)</f>
        <v>25.062000000000005</v>
      </c>
    </row>
    <row r="76" spans="1:12" ht="24" customHeight="1" x14ac:dyDescent="0.4">
      <c r="A76" s="103">
        <f>L76</f>
        <v>25.059000000000001</v>
      </c>
      <c r="B76" s="133" t="s">
        <v>174</v>
      </c>
      <c r="C76" s="96">
        <v>6190</v>
      </c>
      <c r="D76" s="74">
        <v>-17.399999999999999</v>
      </c>
      <c r="E76" s="97">
        <v>-38.799999999999997</v>
      </c>
      <c r="F76" s="98">
        <v>-30.7</v>
      </c>
      <c r="G76" s="97">
        <v>-29.6</v>
      </c>
      <c r="H76" s="74">
        <v>-16.399999999999999</v>
      </c>
      <c r="I76" s="98">
        <v>4.0999999999999996</v>
      </c>
      <c r="J76" s="97">
        <v>-51.1</v>
      </c>
      <c r="K76" s="74">
        <v>0.9</v>
      </c>
      <c r="L76" s="137">
        <f xml:space="preserve"> D$1 * (-D76) + E$1 * (-E76) + F$1 * (-F76) + G$1 * (-G76) + H$1 * (-H76) + I$1 * (-I76) + J$1 * (-J76) + K$1 * (-K76)</f>
        <v>25.059000000000001</v>
      </c>
    </row>
    <row r="77" spans="1:12" ht="24" customHeight="1" x14ac:dyDescent="0.4">
      <c r="A77" s="103">
        <f>L77</f>
        <v>24.633000000000003</v>
      </c>
      <c r="B77" s="133" t="s">
        <v>174</v>
      </c>
      <c r="C77" s="96">
        <v>9120</v>
      </c>
      <c r="D77" s="74">
        <v>-17</v>
      </c>
      <c r="E77" s="97">
        <v>-38.1</v>
      </c>
      <c r="F77" s="98">
        <v>-30.7</v>
      </c>
      <c r="G77" s="97">
        <v>-29.4</v>
      </c>
      <c r="H77" s="74">
        <v>-15.1</v>
      </c>
      <c r="I77" s="98">
        <v>4.0999999999999996</v>
      </c>
      <c r="J77" s="97">
        <v>-51.1</v>
      </c>
      <c r="K77" s="74">
        <v>2</v>
      </c>
      <c r="L77" s="137">
        <f xml:space="preserve"> D$1 * (-D77) + E$1 * (-E77) + F$1 * (-F77) + G$1 * (-G77) + H$1 * (-H77) + I$1 * (-I77) + J$1 * (-J77) + K$1 * (-K77)</f>
        <v>24.633000000000003</v>
      </c>
    </row>
    <row r="78" spans="1:12" ht="24" customHeight="1" x14ac:dyDescent="0.4">
      <c r="A78" s="103">
        <f>L78</f>
        <v>24.227</v>
      </c>
      <c r="B78" s="133" t="s">
        <v>171</v>
      </c>
      <c r="C78" s="96">
        <v>6190</v>
      </c>
      <c r="D78" s="74">
        <v>-16</v>
      </c>
      <c r="E78" s="97">
        <v>-38.1</v>
      </c>
      <c r="F78" s="98">
        <v>-29.7</v>
      </c>
      <c r="G78" s="97">
        <v>-30.2</v>
      </c>
      <c r="H78" s="74">
        <v>-15.1</v>
      </c>
      <c r="I78" s="98">
        <v>6</v>
      </c>
      <c r="J78" s="97">
        <v>-52.8</v>
      </c>
      <c r="K78" s="74">
        <v>0.8</v>
      </c>
      <c r="L78" s="137">
        <f xml:space="preserve"> D$1 * (-D78) + E$1 * (-E78) + F$1 * (-F78) + G$1 * (-G78) + H$1 * (-H78) + I$1 * (-I78) + J$1 * (-J78) + K$1 * (-K78)</f>
        <v>24.227</v>
      </c>
    </row>
    <row r="79" spans="1:12" ht="24" customHeight="1" x14ac:dyDescent="0.4">
      <c r="A79" s="103">
        <f>L79</f>
        <v>23.795000000000005</v>
      </c>
      <c r="B79" s="133" t="s">
        <v>98</v>
      </c>
      <c r="C79" s="96">
        <v>9120</v>
      </c>
      <c r="D79" s="74">
        <v>-17.600000000000001</v>
      </c>
      <c r="E79" s="97">
        <v>-34.700000000000003</v>
      </c>
      <c r="F79" s="98">
        <v>-29.9</v>
      </c>
      <c r="G79" s="97">
        <v>-26.2</v>
      </c>
      <c r="H79" s="74">
        <v>-15.6</v>
      </c>
      <c r="I79" s="98">
        <v>2.2999999999999998</v>
      </c>
      <c r="J79" s="97">
        <v>-49.7</v>
      </c>
      <c r="K79" s="74">
        <v>1.4</v>
      </c>
      <c r="L79" s="137">
        <f xml:space="preserve"> D$1 * (-D79) + E$1 * (-E79) + F$1 * (-F79) + G$1 * (-G79) + H$1 * (-H79) + I$1 * (-I79) + J$1 * (-J79) + K$1 * (-K79)</f>
        <v>23.795000000000005</v>
      </c>
    </row>
    <row r="80" spans="1:12" ht="24" customHeight="1" x14ac:dyDescent="0.4">
      <c r="A80" s="103">
        <f>L80</f>
        <v>23.583000000000002</v>
      </c>
      <c r="B80" s="133" t="s">
        <v>171</v>
      </c>
      <c r="C80" s="96">
        <v>9120</v>
      </c>
      <c r="D80" s="74">
        <v>-15.6</v>
      </c>
      <c r="E80" s="97">
        <v>-36.4</v>
      </c>
      <c r="F80" s="98">
        <v>-29.7</v>
      </c>
      <c r="G80" s="97">
        <v>-30</v>
      </c>
      <c r="H80" s="74">
        <v>-13.6</v>
      </c>
      <c r="I80" s="98">
        <v>6</v>
      </c>
      <c r="J80" s="97">
        <v>-52.8</v>
      </c>
      <c r="K80" s="74">
        <v>2</v>
      </c>
      <c r="L80" s="137">
        <f xml:space="preserve"> D$1 * (-D80) + E$1 * (-E80) + F$1 * (-F80) + G$1 * (-G80) + H$1 * (-H80) + I$1 * (-I80) + J$1 * (-J80) + K$1 * (-K80)</f>
        <v>23.583000000000002</v>
      </c>
    </row>
    <row r="81" spans="1:12" ht="24" customHeight="1" x14ac:dyDescent="0.4">
      <c r="A81" s="103">
        <f>L81</f>
        <v>23.117000000000001</v>
      </c>
      <c r="B81" s="131" t="s">
        <v>80</v>
      </c>
      <c r="C81" s="96">
        <v>6190</v>
      </c>
      <c r="D81" s="74">
        <v>-15.8</v>
      </c>
      <c r="E81" s="97">
        <v>-35.1</v>
      </c>
      <c r="F81" s="98">
        <v>-30.1</v>
      </c>
      <c r="G81" s="97">
        <v>-26</v>
      </c>
      <c r="H81" s="74">
        <v>-14.7</v>
      </c>
      <c r="I81" s="98">
        <v>5</v>
      </c>
      <c r="J81" s="97">
        <v>-51.6</v>
      </c>
      <c r="K81" s="74">
        <v>2.7</v>
      </c>
      <c r="L81" s="137">
        <f xml:space="preserve"> D$1 * (-D81) + E$1 * (-E81) + F$1 * (-F81) + G$1 * (-G81) + H$1 * (-H81) + I$1 * (-I81) + J$1 * (-J81) + K$1 * (-K81)</f>
        <v>23.117000000000001</v>
      </c>
    </row>
    <row r="82" spans="1:12" ht="24" customHeight="1" x14ac:dyDescent="0.4">
      <c r="A82" s="103">
        <f>L82</f>
        <v>22.686000000000003</v>
      </c>
      <c r="B82" s="131" t="s">
        <v>80</v>
      </c>
      <c r="C82" s="96">
        <v>9120</v>
      </c>
      <c r="D82" s="74">
        <v>-14.5</v>
      </c>
      <c r="E82" s="97">
        <v>-35.9</v>
      </c>
      <c r="F82" s="98">
        <v>-30.1</v>
      </c>
      <c r="G82" s="97">
        <v>-26</v>
      </c>
      <c r="H82" s="74">
        <v>-13.3</v>
      </c>
      <c r="I82" s="98">
        <v>5</v>
      </c>
      <c r="J82" s="97">
        <v>-51.6</v>
      </c>
      <c r="K82" s="74">
        <v>3.9</v>
      </c>
      <c r="L82" s="137">
        <f xml:space="preserve"> D$1 * (-D82) + E$1 * (-E82) + F$1 * (-F82) + G$1 * (-G82) + H$1 * (-H82) + I$1 * (-I82) + J$1 * (-J82) + K$1 * (-K82)</f>
        <v>22.686000000000003</v>
      </c>
    </row>
    <row r="83" spans="1:12" ht="24" customHeight="1" x14ac:dyDescent="0.4">
      <c r="A83" s="103">
        <f>L83</f>
        <v>22.681999999999999</v>
      </c>
      <c r="B83" s="99" t="s">
        <v>68</v>
      </c>
      <c r="C83" s="96">
        <v>6190</v>
      </c>
      <c r="D83" s="74">
        <v>-19.100000000000001</v>
      </c>
      <c r="E83" s="97">
        <v>-33</v>
      </c>
      <c r="F83" s="98">
        <v>-27.5</v>
      </c>
      <c r="G83" s="97">
        <v>-21.6</v>
      </c>
      <c r="H83" s="74">
        <v>-16.600000000000001</v>
      </c>
      <c r="I83" s="98">
        <v>4.2</v>
      </c>
      <c r="J83" s="97">
        <v>-41.4</v>
      </c>
      <c r="K83" s="74">
        <v>3.8</v>
      </c>
      <c r="L83" s="137">
        <f xml:space="preserve"> D$1 * (-D83) + E$1 * (-E83) + F$1 * (-F83) + G$1 * (-G83) + H$1 * (-H83) + I$1 * (-I83) + J$1 * (-J83) + K$1 * (-K83)</f>
        <v>22.681999999999999</v>
      </c>
    </row>
    <row r="84" spans="1:12" ht="24" customHeight="1" x14ac:dyDescent="0.4">
      <c r="A84" s="103">
        <f>L84</f>
        <v>22.489000000000001</v>
      </c>
      <c r="B84" s="131" t="s">
        <v>178</v>
      </c>
      <c r="C84" s="96">
        <v>9120</v>
      </c>
      <c r="D84" s="74">
        <v>-16.3</v>
      </c>
      <c r="E84" s="97">
        <v>-35.6</v>
      </c>
      <c r="F84" s="98">
        <v>-27</v>
      </c>
      <c r="G84" s="97">
        <v>-25.2</v>
      </c>
      <c r="H84" s="74">
        <v>-14.4</v>
      </c>
      <c r="I84" s="98">
        <v>7.8</v>
      </c>
      <c r="J84" s="97">
        <v>-47.8</v>
      </c>
      <c r="K84" s="74">
        <v>2.9</v>
      </c>
      <c r="L84" s="137">
        <f xml:space="preserve"> D$1 * (-D84) + E$1 * (-E84) + F$1 * (-F84) + G$1 * (-G84) + H$1 * (-H84) + I$1 * (-I84) + J$1 * (-J84) + K$1 * (-K84)</f>
        <v>22.489000000000001</v>
      </c>
    </row>
    <row r="85" spans="1:12" ht="24" customHeight="1" x14ac:dyDescent="0.4">
      <c r="A85" s="103">
        <f>L85</f>
        <v>21.723000000000006</v>
      </c>
      <c r="B85" s="99" t="s">
        <v>66</v>
      </c>
      <c r="C85" s="96">
        <v>6190</v>
      </c>
      <c r="D85" s="74">
        <v>-16</v>
      </c>
      <c r="E85" s="97">
        <v>-35.1</v>
      </c>
      <c r="F85" s="98">
        <v>-25.1</v>
      </c>
      <c r="G85" s="97">
        <v>-23.3</v>
      </c>
      <c r="H85" s="74">
        <v>-14.8</v>
      </c>
      <c r="I85" s="98">
        <v>5.3</v>
      </c>
      <c r="J85" s="97">
        <v>-43.5</v>
      </c>
      <c r="K85" s="74">
        <v>4.3</v>
      </c>
      <c r="L85" s="137">
        <f xml:space="preserve"> D$1 * (-D85) + E$1 * (-E85) + F$1 * (-F85) + G$1 * (-G85) + H$1 * (-H85) + I$1 * (-I85) + J$1 * (-J85) + K$1 * (-K85)</f>
        <v>21.723000000000006</v>
      </c>
    </row>
    <row r="86" spans="1:12" ht="24" customHeight="1" x14ac:dyDescent="0.4">
      <c r="A86" s="103">
        <f>L86</f>
        <v>21.165000000000003</v>
      </c>
      <c r="B86" s="99" t="s">
        <v>66</v>
      </c>
      <c r="C86" s="96">
        <v>9120</v>
      </c>
      <c r="D86" s="74">
        <v>-15.8</v>
      </c>
      <c r="E86" s="97">
        <v>-33.700000000000003</v>
      </c>
      <c r="F86" s="98">
        <v>-25.1</v>
      </c>
      <c r="G86" s="97">
        <v>-22.3</v>
      </c>
      <c r="H86" s="74">
        <v>-13.6</v>
      </c>
      <c r="I86" s="98">
        <v>5.3</v>
      </c>
      <c r="J86" s="97">
        <v>-43.5</v>
      </c>
      <c r="K86" s="74">
        <v>4.9000000000000004</v>
      </c>
      <c r="L86" s="137">
        <f xml:space="preserve"> D$1 * (-D86) + E$1 * (-E86) + F$1 * (-F86) + G$1 * (-G86) + H$1 * (-H86) + I$1 * (-I86) + J$1 * (-J86) + K$1 * (-K86)</f>
        <v>21.165000000000003</v>
      </c>
    </row>
    <row r="87" spans="1:12" ht="24" customHeight="1" x14ac:dyDescent="0.4">
      <c r="A87" s="103">
        <f>L87</f>
        <v>20.953999999999997</v>
      </c>
      <c r="B87" s="99" t="s">
        <v>68</v>
      </c>
      <c r="C87" s="96">
        <v>9120</v>
      </c>
      <c r="D87" s="74">
        <v>-17.3</v>
      </c>
      <c r="E87" s="97">
        <v>-29.4</v>
      </c>
      <c r="F87" s="98">
        <v>-27.5</v>
      </c>
      <c r="G87" s="97">
        <v>-19.7</v>
      </c>
      <c r="H87" s="74">
        <v>-14.6</v>
      </c>
      <c r="I87" s="98">
        <v>4.2</v>
      </c>
      <c r="J87" s="97">
        <v>-41.4</v>
      </c>
      <c r="K87" s="74">
        <v>5.2</v>
      </c>
      <c r="L87" s="137">
        <f xml:space="preserve"> D$1 * (-D87) + E$1 * (-E87) + F$1 * (-F87) + G$1 * (-G87) + H$1 * (-H87) + I$1 * (-I87) + J$1 * (-J87) + K$1 * (-K87)</f>
        <v>20.953999999999997</v>
      </c>
    </row>
    <row r="88" spans="1:12" ht="24" customHeight="1" x14ac:dyDescent="0.4">
      <c r="A88" s="103">
        <f>L88</f>
        <v>19.346</v>
      </c>
      <c r="B88" s="99" t="s">
        <v>170</v>
      </c>
      <c r="C88" s="96">
        <v>6190</v>
      </c>
      <c r="D88" s="74">
        <v>-15.9</v>
      </c>
      <c r="E88" s="97">
        <v>-29.2</v>
      </c>
      <c r="F88" s="98">
        <v>-22.8</v>
      </c>
      <c r="G88" s="97">
        <v>-20</v>
      </c>
      <c r="H88" s="74">
        <v>-13.5</v>
      </c>
      <c r="I88" s="98">
        <v>5.6</v>
      </c>
      <c r="J88" s="97">
        <v>-36.5</v>
      </c>
      <c r="K88" s="74">
        <v>5.2</v>
      </c>
      <c r="L88" s="137">
        <f xml:space="preserve"> D$1 * (-D88) + E$1 * (-E88) + F$1 * (-F88) + G$1 * (-G88) + H$1 * (-H88) + I$1 * (-I88) + J$1 * (-J88) + K$1 * (-K88)</f>
        <v>19.346</v>
      </c>
    </row>
    <row r="89" spans="1:12" ht="24" customHeight="1" x14ac:dyDescent="0.4">
      <c r="A89" s="103">
        <f>L89</f>
        <v>18.334</v>
      </c>
      <c r="B89" s="99" t="s">
        <v>170</v>
      </c>
      <c r="C89" s="96">
        <v>9120</v>
      </c>
      <c r="D89" s="74">
        <v>-14.3</v>
      </c>
      <c r="E89" s="97">
        <v>-28.3</v>
      </c>
      <c r="F89" s="98">
        <v>-22.8</v>
      </c>
      <c r="G89" s="97">
        <v>-18.899999999999999</v>
      </c>
      <c r="H89" s="74">
        <v>-11.8</v>
      </c>
      <c r="I89" s="98">
        <v>5.6</v>
      </c>
      <c r="J89" s="97">
        <v>-36.5</v>
      </c>
      <c r="K89" s="74">
        <v>6.5</v>
      </c>
      <c r="L89" s="137">
        <f xml:space="preserve"> D$1 * (-D89) + E$1 * (-E89) + F$1 * (-F89) + G$1 * (-G89) + H$1 * (-H89) + I$1 * (-I89) + J$1 * (-J89) + K$1 * (-K89)</f>
        <v>18.334</v>
      </c>
    </row>
    <row r="90" spans="1:12" ht="24" customHeight="1" x14ac:dyDescent="0.4">
      <c r="A90" s="103">
        <f>L90</f>
        <v>17.483000000000001</v>
      </c>
      <c r="B90" s="99" t="s">
        <v>169</v>
      </c>
      <c r="C90" s="96">
        <v>6190</v>
      </c>
      <c r="D90" s="74">
        <v>-13.7</v>
      </c>
      <c r="E90" s="97">
        <v>-26.7</v>
      </c>
      <c r="F90" s="98">
        <v>-20.399999999999999</v>
      </c>
      <c r="G90" s="97">
        <v>-18.8</v>
      </c>
      <c r="H90" s="74">
        <v>-12.1</v>
      </c>
      <c r="I90" s="98">
        <v>9.9</v>
      </c>
      <c r="J90" s="97">
        <v>-41.5</v>
      </c>
      <c r="K90" s="74">
        <v>7</v>
      </c>
      <c r="L90" s="137">
        <f xml:space="preserve"> D$1 * (-D90) + E$1 * (-E90) + F$1 * (-F90) + G$1 * (-G90) + H$1 * (-H90) + I$1 * (-I90) + J$1 * (-J90) + K$1 * (-K90)</f>
        <v>17.483000000000001</v>
      </c>
    </row>
    <row r="91" spans="1:12" ht="24" customHeight="1" x14ac:dyDescent="0.4">
      <c r="A91" s="103">
        <f>L91</f>
        <v>16.152000000000001</v>
      </c>
      <c r="B91" s="99" t="s">
        <v>169</v>
      </c>
      <c r="C91" s="96">
        <v>9120</v>
      </c>
      <c r="D91" s="74">
        <v>-12.2</v>
      </c>
      <c r="E91" s="97">
        <v>-23.9</v>
      </c>
      <c r="F91" s="98">
        <v>-20.399999999999999</v>
      </c>
      <c r="G91" s="97">
        <v>-18.100000000000001</v>
      </c>
      <c r="H91" s="74">
        <v>-10.1</v>
      </c>
      <c r="I91" s="98">
        <v>9.9</v>
      </c>
      <c r="J91" s="97">
        <v>-41.5</v>
      </c>
      <c r="K91" s="74">
        <v>7.8</v>
      </c>
      <c r="L91" s="137">
        <f xml:space="preserve"> D$1 * (-D91) + E$1 * (-E91) + F$1 * (-F91) + G$1 * (-G91) + H$1 * (-H91) + I$1 * (-I91) + J$1 * (-J91) + K$1 * (-K91)</f>
        <v>16.152000000000001</v>
      </c>
    </row>
    <row r="92" spans="1:12" ht="24" customHeight="1" x14ac:dyDescent="0.4">
      <c r="A92" s="103">
        <f>L92</f>
        <v>15.933000000000002</v>
      </c>
      <c r="B92" s="133" t="s">
        <v>176</v>
      </c>
      <c r="C92" s="96">
        <v>6190</v>
      </c>
      <c r="D92" s="74">
        <v>-9.1999999999999993</v>
      </c>
      <c r="E92" s="97">
        <v>-26.9</v>
      </c>
      <c r="F92" s="98">
        <v>-21.6</v>
      </c>
      <c r="G92" s="97">
        <v>-19.100000000000001</v>
      </c>
      <c r="H92" s="74">
        <v>-7.6</v>
      </c>
      <c r="I92" s="98">
        <v>8.6</v>
      </c>
      <c r="J92" s="97">
        <v>-42.1</v>
      </c>
      <c r="K92" s="74">
        <v>5</v>
      </c>
      <c r="L92" s="137">
        <f xml:space="preserve"> D$1 * (-D92) + E$1 * (-E92) + F$1 * (-F92) + G$1 * (-G92) + H$1 * (-H92) + I$1 * (-I92) + J$1 * (-J92) + K$1 * (-K92)</f>
        <v>15.933000000000002</v>
      </c>
    </row>
    <row r="93" spans="1:12" ht="24" customHeight="1" x14ac:dyDescent="0.4">
      <c r="A93" s="103">
        <f>L93</f>
        <v>15.760999999999999</v>
      </c>
      <c r="B93" s="99" t="s">
        <v>168</v>
      </c>
      <c r="C93" s="96">
        <v>6190</v>
      </c>
      <c r="D93" s="74">
        <v>-12.4</v>
      </c>
      <c r="E93" s="97">
        <v>-25.1</v>
      </c>
      <c r="F93" s="98">
        <v>-20.9</v>
      </c>
      <c r="G93" s="97">
        <v>-14.4</v>
      </c>
      <c r="H93" s="74">
        <v>-10.5</v>
      </c>
      <c r="I93" s="98">
        <v>10.6</v>
      </c>
      <c r="J93" s="97">
        <v>-32.799999999999997</v>
      </c>
      <c r="K93" s="74">
        <v>6.2</v>
      </c>
      <c r="L93" s="137">
        <f xml:space="preserve"> D$1 * (-D93) + E$1 * (-E93) + F$1 * (-F93) + G$1 * (-G93) + H$1 * (-H93) + I$1 * (-I93) + J$1 * (-J93) + K$1 * (-K93)</f>
        <v>15.760999999999999</v>
      </c>
    </row>
    <row r="94" spans="1:12" ht="24" customHeight="1" x14ac:dyDescent="0.4">
      <c r="A94" s="103">
        <f>L94</f>
        <v>15.009</v>
      </c>
      <c r="B94" s="99" t="s">
        <v>102</v>
      </c>
      <c r="C94" s="96">
        <v>9120</v>
      </c>
      <c r="D94" s="74">
        <v>-11.4</v>
      </c>
      <c r="E94" s="97">
        <v>-25.4</v>
      </c>
      <c r="F94" s="98">
        <v>-18.399999999999999</v>
      </c>
      <c r="G94" s="97">
        <v>-14.3</v>
      </c>
      <c r="H94" s="74">
        <v>-8.6999999999999993</v>
      </c>
      <c r="I94" s="98">
        <v>8.6</v>
      </c>
      <c r="J94" s="97">
        <v>-33.1</v>
      </c>
      <c r="K94" s="74">
        <v>8.6</v>
      </c>
      <c r="L94" s="137">
        <f xml:space="preserve"> D$1 * (-D94) + E$1 * (-E94) + F$1 * (-F94) + G$1 * (-G94) + H$1 * (-H94) + I$1 * (-I94) + J$1 * (-J94) + K$1 * (-K94)</f>
        <v>15.009</v>
      </c>
    </row>
    <row r="95" spans="1:12" ht="24" customHeight="1" x14ac:dyDescent="0.4">
      <c r="A95" s="103">
        <f>L95</f>
        <v>14.109000000000002</v>
      </c>
      <c r="B95" s="133" t="s">
        <v>176</v>
      </c>
      <c r="C95" s="96">
        <v>9120</v>
      </c>
      <c r="D95" s="74">
        <v>-6.2</v>
      </c>
      <c r="E95" s="97">
        <v>-24.7</v>
      </c>
      <c r="F95" s="98">
        <v>-21.6</v>
      </c>
      <c r="G95" s="97">
        <v>-17.7</v>
      </c>
      <c r="H95" s="74">
        <v>-5.5</v>
      </c>
      <c r="I95" s="98">
        <v>8.6</v>
      </c>
      <c r="J95" s="97">
        <v>-42.1</v>
      </c>
      <c r="K95" s="74">
        <v>6.3</v>
      </c>
      <c r="L95" s="137">
        <f xml:space="preserve"> D$1 * (-D95) + E$1 * (-E95) + F$1 * (-F95) + G$1 * (-G95) + H$1 * (-H95) + I$1 * (-I95) + J$1 * (-J95) + K$1 * (-K95)</f>
        <v>14.109000000000002</v>
      </c>
    </row>
    <row r="96" spans="1:12" ht="24" customHeight="1" x14ac:dyDescent="0.4">
      <c r="A96" s="103">
        <f>L96</f>
        <v>13.660000000000002</v>
      </c>
      <c r="B96" s="99" t="s">
        <v>103</v>
      </c>
      <c r="C96" s="96">
        <v>9120</v>
      </c>
      <c r="D96" s="74">
        <v>-10.1</v>
      </c>
      <c r="E96" s="97">
        <v>-25</v>
      </c>
      <c r="F96" s="98">
        <v>-15.8</v>
      </c>
      <c r="G96" s="97">
        <v>-12.5</v>
      </c>
      <c r="H96" s="74">
        <v>-7.8</v>
      </c>
      <c r="I96" s="98">
        <v>11.2</v>
      </c>
      <c r="J96" s="97">
        <v>-31.9</v>
      </c>
      <c r="K96" s="74">
        <v>7.7</v>
      </c>
      <c r="L96" s="137">
        <f xml:space="preserve"> D$1 * (-D96) + E$1 * (-E96) + F$1 * (-F96) + G$1 * (-G96) + H$1 * (-H96) + I$1 * (-I96) + J$1 * (-J96) + K$1 * (-K96)</f>
        <v>13.660000000000002</v>
      </c>
    </row>
    <row r="97" spans="1:12" ht="24" customHeight="1" x14ac:dyDescent="0.4">
      <c r="A97" s="103"/>
      <c r="B97" s="99"/>
      <c r="C97" s="96"/>
      <c r="D97" s="74"/>
      <c r="E97" s="97"/>
      <c r="F97" s="98"/>
      <c r="G97" s="97"/>
      <c r="H97" s="74"/>
      <c r="I97" s="98"/>
      <c r="J97" s="97"/>
      <c r="K97" s="74"/>
      <c r="L97" s="137"/>
    </row>
    <row r="98" spans="1:12" ht="24" customHeight="1" x14ac:dyDescent="0.4">
      <c r="A98" s="103"/>
      <c r="B98" s="99"/>
      <c r="C98" s="96"/>
      <c r="D98" s="74"/>
      <c r="E98" s="97"/>
      <c r="F98" s="98"/>
      <c r="G98" s="97"/>
      <c r="H98" s="74"/>
      <c r="I98" s="98"/>
      <c r="J98" s="97"/>
      <c r="K98" s="74"/>
      <c r="L98" s="137"/>
    </row>
    <row r="99" spans="1:12" ht="24" customHeight="1" x14ac:dyDescent="0.4">
      <c r="A99" s="103"/>
      <c r="B99" s="99"/>
      <c r="C99" s="96"/>
      <c r="D99" s="74"/>
      <c r="E99" s="97"/>
      <c r="F99" s="98"/>
      <c r="G99" s="97"/>
      <c r="H99" s="74"/>
      <c r="I99" s="98"/>
      <c r="J99" s="97"/>
      <c r="K99" s="74"/>
      <c r="L99" s="137"/>
    </row>
    <row r="100" spans="1:12" ht="24" customHeight="1" x14ac:dyDescent="0.4">
      <c r="A100" s="103"/>
      <c r="B100" s="99"/>
      <c r="C100" s="96"/>
      <c r="D100" s="74"/>
      <c r="E100" s="97"/>
      <c r="F100" s="98"/>
      <c r="G100" s="97"/>
      <c r="H100" s="74"/>
      <c r="I100" s="98"/>
      <c r="J100" s="97"/>
      <c r="K100" s="74"/>
      <c r="L100" s="137"/>
    </row>
    <row r="101" spans="1:12" ht="24" customHeight="1" x14ac:dyDescent="0.4">
      <c r="A101" s="103"/>
      <c r="B101" s="99"/>
      <c r="C101" s="96"/>
      <c r="D101" s="74"/>
      <c r="E101" s="97"/>
      <c r="F101" s="98"/>
      <c r="G101" s="97"/>
      <c r="H101" s="74"/>
      <c r="I101" s="98"/>
      <c r="J101" s="97"/>
      <c r="K101" s="74"/>
      <c r="L101" s="137"/>
    </row>
    <row r="102" spans="1:12" ht="24" customHeight="1" x14ac:dyDescent="0.4">
      <c r="A102" s="103"/>
      <c r="B102" s="99"/>
      <c r="C102" s="96"/>
      <c r="D102" s="74"/>
      <c r="E102" s="97"/>
      <c r="F102" s="98"/>
      <c r="G102" s="97"/>
      <c r="H102" s="74"/>
      <c r="I102" s="98"/>
      <c r="J102" s="97"/>
      <c r="K102" s="74"/>
      <c r="L102" s="137"/>
    </row>
    <row r="103" spans="1:12" ht="24" customHeight="1" x14ac:dyDescent="0.4">
      <c r="A103" s="103"/>
      <c r="B103" s="99"/>
      <c r="C103" s="96"/>
      <c r="D103" s="74"/>
      <c r="E103" s="97"/>
      <c r="F103" s="98"/>
      <c r="G103" s="97"/>
      <c r="H103" s="74"/>
      <c r="I103" s="98"/>
      <c r="J103" s="97"/>
      <c r="K103" s="74"/>
      <c r="L103" s="137"/>
    </row>
    <row r="104" spans="1:12" ht="24" customHeight="1" x14ac:dyDescent="0.4">
      <c r="A104" s="103"/>
      <c r="B104" s="99"/>
      <c r="C104" s="96"/>
      <c r="D104" s="74"/>
      <c r="E104" s="97"/>
      <c r="F104" s="98"/>
      <c r="G104" s="97"/>
      <c r="H104" s="74"/>
      <c r="I104" s="98"/>
      <c r="J104" s="97"/>
      <c r="K104" s="74"/>
      <c r="L104" s="137"/>
    </row>
    <row r="105" spans="1:12" ht="24" customHeight="1" x14ac:dyDescent="0.4">
      <c r="A105" s="103"/>
      <c r="B105" s="99"/>
      <c r="C105" s="96"/>
      <c r="D105" s="74"/>
      <c r="E105" s="97"/>
      <c r="F105" s="98"/>
      <c r="G105" s="97"/>
      <c r="H105" s="74"/>
      <c r="I105" s="98"/>
      <c r="J105" s="97"/>
      <c r="K105" s="74"/>
      <c r="L105" s="137"/>
    </row>
    <row r="106" spans="1:12" ht="24" customHeight="1" x14ac:dyDescent="0.4">
      <c r="A106" s="103"/>
      <c r="B106" s="99"/>
      <c r="C106" s="96"/>
      <c r="D106" s="74"/>
      <c r="E106" s="97"/>
      <c r="F106" s="98"/>
      <c r="G106" s="97"/>
      <c r="H106" s="74"/>
      <c r="I106" s="98"/>
      <c r="J106" s="97"/>
      <c r="K106" s="74"/>
      <c r="L106" s="137"/>
    </row>
    <row r="107" spans="1:12" ht="24" customHeight="1" x14ac:dyDescent="0.4">
      <c r="A107" s="103"/>
      <c r="B107" s="99"/>
      <c r="C107" s="96"/>
      <c r="D107" s="74"/>
      <c r="E107" s="97"/>
      <c r="F107" s="98"/>
      <c r="G107" s="97"/>
      <c r="H107" s="74"/>
      <c r="I107" s="98"/>
      <c r="J107" s="97"/>
      <c r="K107" s="74"/>
      <c r="L107" s="137"/>
    </row>
    <row r="108" spans="1:12" ht="24" customHeight="1" x14ac:dyDescent="0.4">
      <c r="A108" s="103"/>
      <c r="B108" s="99"/>
      <c r="C108" s="96"/>
      <c r="D108" s="74"/>
      <c r="E108" s="97"/>
      <c r="F108" s="98"/>
      <c r="G108" s="97"/>
      <c r="H108" s="74"/>
      <c r="I108" s="98"/>
      <c r="J108" s="97"/>
      <c r="K108" s="74"/>
      <c r="L108" s="137"/>
    </row>
    <row r="109" spans="1:12" ht="24" customHeight="1" x14ac:dyDescent="0.4">
      <c r="A109" s="103"/>
      <c r="B109" s="99"/>
      <c r="C109" s="96"/>
      <c r="D109" s="74"/>
      <c r="E109" s="97"/>
      <c r="F109" s="98"/>
      <c r="G109" s="97"/>
      <c r="H109" s="74"/>
      <c r="I109" s="98"/>
      <c r="J109" s="97"/>
      <c r="K109" s="74"/>
      <c r="L109" s="137"/>
    </row>
    <row r="110" spans="1:12" ht="24" customHeight="1" x14ac:dyDescent="0.4">
      <c r="A110" s="103"/>
      <c r="B110" s="99"/>
      <c r="C110" s="96"/>
      <c r="D110" s="74"/>
      <c r="E110" s="97"/>
      <c r="F110" s="98"/>
      <c r="G110" s="97"/>
      <c r="H110" s="74"/>
      <c r="I110" s="98"/>
      <c r="J110" s="97"/>
      <c r="K110" s="74"/>
      <c r="L110" s="137"/>
    </row>
    <row r="111" spans="1:12" ht="24" customHeight="1" x14ac:dyDescent="0.4">
      <c r="A111" s="103"/>
      <c r="B111" s="99"/>
      <c r="C111" s="96"/>
      <c r="D111" s="74"/>
      <c r="E111" s="97"/>
      <c r="F111" s="98"/>
      <c r="G111" s="97"/>
      <c r="H111" s="74"/>
      <c r="I111" s="98"/>
      <c r="J111" s="97"/>
      <c r="K111" s="74"/>
      <c r="L111" s="137"/>
    </row>
    <row r="112" spans="1:12" ht="24" customHeight="1" x14ac:dyDescent="0.4">
      <c r="A112" s="103"/>
      <c r="B112" s="99"/>
      <c r="C112" s="96"/>
      <c r="D112" s="74"/>
      <c r="E112" s="97"/>
      <c r="F112" s="98"/>
      <c r="G112" s="97"/>
      <c r="H112" s="74"/>
      <c r="I112" s="98"/>
      <c r="J112" s="97"/>
      <c r="K112" s="74"/>
      <c r="L112" s="137"/>
    </row>
    <row r="113" spans="1:12" ht="24" customHeight="1" x14ac:dyDescent="0.4">
      <c r="A113" s="103"/>
      <c r="B113" s="99"/>
      <c r="C113" s="96"/>
      <c r="D113" s="74"/>
      <c r="E113" s="97"/>
      <c r="F113" s="98"/>
      <c r="G113" s="97"/>
      <c r="H113" s="74"/>
      <c r="I113" s="98"/>
      <c r="J113" s="97"/>
      <c r="K113" s="74"/>
      <c r="L113" s="137"/>
    </row>
    <row r="114" spans="1:12" ht="24" customHeight="1" x14ac:dyDescent="0.4">
      <c r="A114" s="103"/>
      <c r="B114" s="99"/>
      <c r="C114" s="96"/>
      <c r="D114" s="74"/>
      <c r="E114" s="97"/>
      <c r="F114" s="98"/>
      <c r="G114" s="97"/>
      <c r="H114" s="74"/>
      <c r="I114" s="98"/>
      <c r="J114" s="97"/>
      <c r="K114" s="74"/>
      <c r="L114" s="137"/>
    </row>
    <row r="115" spans="1:12" ht="24" customHeight="1" x14ac:dyDescent="0.4">
      <c r="A115" s="103"/>
      <c r="B115" s="99"/>
      <c r="C115" s="96"/>
      <c r="D115" s="74"/>
      <c r="E115" s="97"/>
      <c r="F115" s="98"/>
      <c r="G115" s="97"/>
      <c r="H115" s="74"/>
      <c r="I115" s="98"/>
      <c r="J115" s="97"/>
      <c r="K115" s="74"/>
      <c r="L115" s="137"/>
    </row>
    <row r="116" spans="1:12" ht="24" customHeight="1" x14ac:dyDescent="0.4">
      <c r="A116" s="103"/>
      <c r="B116" s="99"/>
      <c r="C116" s="96"/>
      <c r="D116" s="74"/>
      <c r="E116" s="97"/>
      <c r="F116" s="98"/>
      <c r="G116" s="97"/>
      <c r="H116" s="74"/>
      <c r="I116" s="98"/>
      <c r="J116" s="97"/>
      <c r="K116" s="74"/>
      <c r="L116" s="137"/>
    </row>
    <row r="117" spans="1:12" ht="24" customHeight="1" x14ac:dyDescent="0.4">
      <c r="A117" s="103"/>
      <c r="B117" s="99"/>
      <c r="C117" s="96"/>
      <c r="D117" s="74"/>
      <c r="E117" s="97"/>
      <c r="F117" s="98"/>
      <c r="G117" s="97"/>
      <c r="H117" s="74"/>
      <c r="I117" s="98"/>
      <c r="J117" s="97"/>
      <c r="K117" s="74"/>
      <c r="L117" s="137"/>
    </row>
    <row r="118" spans="1:12" ht="24" customHeight="1" x14ac:dyDescent="0.4">
      <c r="A118" s="103"/>
      <c r="B118" s="99"/>
      <c r="C118" s="96"/>
      <c r="D118" s="74"/>
      <c r="E118" s="97"/>
      <c r="F118" s="98"/>
      <c r="G118" s="97"/>
      <c r="H118" s="74"/>
      <c r="I118" s="98"/>
      <c r="J118" s="97"/>
      <c r="K118" s="74"/>
      <c r="L118" s="137"/>
    </row>
    <row r="119" spans="1:12" ht="24" customHeight="1" x14ac:dyDescent="0.4">
      <c r="A119" s="103"/>
      <c r="B119" s="99"/>
      <c r="C119" s="96"/>
      <c r="D119" s="74"/>
      <c r="E119" s="97"/>
      <c r="F119" s="98"/>
      <c r="G119" s="97"/>
      <c r="H119" s="74"/>
      <c r="I119" s="98"/>
      <c r="J119" s="97"/>
      <c r="K119" s="74"/>
      <c r="L119" s="137"/>
    </row>
    <row r="120" spans="1:12" ht="24" customHeight="1" x14ac:dyDescent="0.4">
      <c r="A120" s="103"/>
      <c r="B120" s="99"/>
      <c r="C120" s="96"/>
      <c r="D120" s="74"/>
      <c r="E120" s="97"/>
      <c r="F120" s="98"/>
      <c r="G120" s="97"/>
      <c r="H120" s="74"/>
      <c r="I120" s="98"/>
      <c r="J120" s="97"/>
      <c r="K120" s="74"/>
      <c r="L120" s="137"/>
    </row>
    <row r="121" spans="1:12" ht="24" customHeight="1" x14ac:dyDescent="0.4">
      <c r="A121" s="103"/>
      <c r="B121" s="99"/>
      <c r="C121" s="96"/>
      <c r="D121" s="74"/>
      <c r="E121" s="97"/>
      <c r="F121" s="98"/>
      <c r="G121" s="97"/>
      <c r="H121" s="74"/>
      <c r="I121" s="98"/>
      <c r="J121" s="97"/>
      <c r="K121" s="74"/>
      <c r="L121" s="137"/>
    </row>
    <row r="122" spans="1:12" ht="24" customHeight="1" x14ac:dyDescent="0.4">
      <c r="A122" s="103"/>
      <c r="B122" s="99"/>
      <c r="C122" s="96"/>
      <c r="D122" s="74"/>
      <c r="E122" s="97"/>
      <c r="F122" s="98"/>
      <c r="G122" s="97"/>
      <c r="H122" s="74"/>
      <c r="I122" s="98"/>
      <c r="J122" s="97"/>
      <c r="K122" s="74"/>
      <c r="L122" s="137"/>
    </row>
    <row r="123" spans="1:12" ht="24" customHeight="1" x14ac:dyDescent="0.4">
      <c r="A123" s="103"/>
      <c r="B123" s="99"/>
      <c r="C123" s="96"/>
      <c r="D123" s="74"/>
      <c r="E123" s="97"/>
      <c r="F123" s="98"/>
      <c r="G123" s="97"/>
      <c r="H123" s="74"/>
      <c r="I123" s="98"/>
      <c r="J123" s="97"/>
      <c r="K123" s="74"/>
      <c r="L123" s="137"/>
    </row>
    <row r="124" spans="1:12" ht="24" customHeight="1" x14ac:dyDescent="0.4">
      <c r="A124" s="103"/>
      <c r="B124" s="99"/>
      <c r="C124" s="96"/>
      <c r="D124" s="74"/>
      <c r="E124" s="97"/>
      <c r="F124" s="98"/>
      <c r="G124" s="97"/>
      <c r="H124" s="74"/>
      <c r="I124" s="98"/>
      <c r="J124" s="97"/>
      <c r="K124" s="74"/>
      <c r="L124" s="137"/>
    </row>
    <row r="125" spans="1:12" ht="24" customHeight="1" x14ac:dyDescent="0.4">
      <c r="A125" s="103"/>
      <c r="B125" s="99"/>
      <c r="C125" s="96"/>
      <c r="D125" s="74"/>
      <c r="E125" s="97"/>
      <c r="F125" s="98"/>
      <c r="G125" s="97"/>
      <c r="H125" s="74"/>
      <c r="I125" s="98"/>
      <c r="J125" s="97"/>
      <c r="K125" s="74"/>
      <c r="L125" s="137"/>
    </row>
    <row r="126" spans="1:12" ht="24" customHeight="1" x14ac:dyDescent="0.4">
      <c r="A126" s="103"/>
      <c r="B126" s="99"/>
      <c r="C126" s="96"/>
      <c r="D126" s="74"/>
      <c r="E126" s="97"/>
      <c r="F126" s="98"/>
      <c r="G126" s="97"/>
      <c r="H126" s="74"/>
      <c r="I126" s="98"/>
      <c r="J126" s="97"/>
      <c r="K126" s="74"/>
      <c r="L126" s="137"/>
    </row>
    <row r="127" spans="1:12" ht="24" customHeight="1" x14ac:dyDescent="0.4">
      <c r="A127" s="103"/>
      <c r="B127" s="99"/>
      <c r="C127" s="96"/>
      <c r="D127" s="74"/>
      <c r="E127" s="97"/>
      <c r="F127" s="98"/>
      <c r="G127" s="97"/>
      <c r="H127" s="74"/>
      <c r="I127" s="98"/>
      <c r="J127" s="97"/>
      <c r="K127" s="74"/>
      <c r="L127" s="137"/>
    </row>
    <row r="128" spans="1:12" ht="24" customHeight="1" x14ac:dyDescent="0.4">
      <c r="A128" s="103"/>
      <c r="B128" s="99"/>
      <c r="C128" s="96"/>
      <c r="D128" s="74"/>
      <c r="E128" s="97"/>
      <c r="F128" s="98"/>
      <c r="G128" s="97"/>
      <c r="H128" s="74"/>
      <c r="I128" s="98"/>
      <c r="J128" s="97"/>
      <c r="K128" s="74"/>
      <c r="L128" s="137"/>
    </row>
    <row r="129" spans="1:12" ht="24" customHeight="1" x14ac:dyDescent="0.4">
      <c r="A129" s="103"/>
      <c r="B129" s="99"/>
      <c r="C129" s="96"/>
      <c r="D129" s="74"/>
      <c r="E129" s="97"/>
      <c r="F129" s="98"/>
      <c r="G129" s="97"/>
      <c r="H129" s="74"/>
      <c r="I129" s="98"/>
      <c r="J129" s="97"/>
      <c r="K129" s="74"/>
      <c r="L129" s="137"/>
    </row>
    <row r="130" spans="1:12" ht="24" customHeight="1" x14ac:dyDescent="0.4">
      <c r="A130" s="103"/>
      <c r="B130" s="99"/>
      <c r="C130" s="96"/>
      <c r="D130" s="74"/>
      <c r="E130" s="97"/>
      <c r="F130" s="98"/>
      <c r="G130" s="97"/>
      <c r="H130" s="74"/>
      <c r="I130" s="98"/>
      <c r="J130" s="97"/>
      <c r="K130" s="74"/>
      <c r="L130" s="137"/>
    </row>
    <row r="131" spans="1:12" ht="24" customHeight="1" x14ac:dyDescent="0.4">
      <c r="A131" s="103"/>
      <c r="B131" s="99"/>
      <c r="C131" s="96"/>
      <c r="D131" s="74"/>
      <c r="E131" s="97"/>
      <c r="F131" s="98"/>
      <c r="G131" s="97"/>
      <c r="H131" s="74"/>
      <c r="I131" s="98"/>
      <c r="J131" s="97"/>
      <c r="K131" s="74"/>
      <c r="L131" s="137"/>
    </row>
    <row r="132" spans="1:12" ht="24" customHeight="1" x14ac:dyDescent="0.4">
      <c r="A132" s="103"/>
      <c r="B132" s="99"/>
      <c r="C132" s="96"/>
      <c r="D132" s="74"/>
      <c r="E132" s="97"/>
      <c r="F132" s="98"/>
      <c r="G132" s="97"/>
      <c r="H132" s="74"/>
      <c r="I132" s="98"/>
      <c r="J132" s="97"/>
      <c r="K132" s="74"/>
      <c r="L132" s="137"/>
    </row>
    <row r="133" spans="1:12" ht="24" customHeight="1" x14ac:dyDescent="0.4">
      <c r="A133" s="103"/>
      <c r="B133" s="99"/>
      <c r="C133" s="96"/>
      <c r="D133" s="74"/>
      <c r="E133" s="97"/>
      <c r="F133" s="98"/>
      <c r="G133" s="97"/>
      <c r="H133" s="74"/>
      <c r="I133" s="98"/>
      <c r="J133" s="97"/>
      <c r="K133" s="74"/>
      <c r="L133" s="137"/>
    </row>
    <row r="134" spans="1:12" ht="24" customHeight="1" x14ac:dyDescent="0.4">
      <c r="A134" s="103"/>
      <c r="B134" s="99"/>
      <c r="C134" s="96"/>
      <c r="D134" s="74"/>
      <c r="E134" s="97"/>
      <c r="F134" s="98"/>
      <c r="G134" s="97"/>
      <c r="H134" s="74"/>
      <c r="I134" s="98"/>
      <c r="J134" s="97"/>
      <c r="K134" s="74"/>
      <c r="L134" s="137"/>
    </row>
    <row r="135" spans="1:12" ht="24" customHeight="1" x14ac:dyDescent="0.4">
      <c r="A135" s="103"/>
      <c r="B135" s="99"/>
      <c r="C135" s="96"/>
      <c r="D135" s="74"/>
      <c r="E135" s="97"/>
      <c r="F135" s="98"/>
      <c r="G135" s="97"/>
      <c r="H135" s="74"/>
      <c r="I135" s="98"/>
      <c r="J135" s="97"/>
      <c r="K135" s="74"/>
      <c r="L135" s="137"/>
    </row>
    <row r="136" spans="1:12" ht="24" customHeight="1" x14ac:dyDescent="0.4">
      <c r="A136" s="103"/>
      <c r="B136" s="99"/>
      <c r="C136" s="96"/>
      <c r="D136" s="74"/>
      <c r="E136" s="97"/>
      <c r="F136" s="98"/>
      <c r="G136" s="97"/>
      <c r="H136" s="74"/>
      <c r="I136" s="98"/>
      <c r="J136" s="97"/>
      <c r="K136" s="74"/>
      <c r="L136" s="137"/>
    </row>
    <row r="137" spans="1:12" ht="24" customHeight="1" x14ac:dyDescent="0.4">
      <c r="A137" s="103"/>
      <c r="B137" s="99"/>
      <c r="C137" s="96"/>
      <c r="D137" s="74"/>
      <c r="E137" s="97"/>
      <c r="F137" s="98"/>
      <c r="G137" s="97"/>
      <c r="H137" s="74"/>
      <c r="I137" s="98"/>
      <c r="J137" s="97"/>
      <c r="K137" s="74"/>
      <c r="L137" s="137"/>
    </row>
    <row r="138" spans="1:12" ht="24" customHeight="1" x14ac:dyDescent="0.4">
      <c r="A138" s="103"/>
      <c r="B138" s="99"/>
      <c r="C138" s="96"/>
      <c r="D138" s="74"/>
      <c r="E138" s="97"/>
      <c r="F138" s="98"/>
      <c r="G138" s="97"/>
      <c r="H138" s="74"/>
      <c r="I138" s="98"/>
      <c r="J138" s="97"/>
      <c r="K138" s="74"/>
      <c r="L138" s="137"/>
    </row>
    <row r="139" spans="1:12" ht="24" customHeight="1" x14ac:dyDescent="0.4">
      <c r="A139" s="103"/>
      <c r="B139" s="99"/>
      <c r="C139" s="96"/>
      <c r="D139" s="74"/>
      <c r="E139" s="97"/>
      <c r="F139" s="98"/>
      <c r="G139" s="97"/>
      <c r="H139" s="74"/>
      <c r="I139" s="98"/>
      <c r="J139" s="97"/>
      <c r="K139" s="74"/>
      <c r="L139" s="137"/>
    </row>
    <row r="140" spans="1:12" ht="24" customHeight="1" x14ac:dyDescent="0.4">
      <c r="A140" s="103"/>
      <c r="B140" s="99"/>
      <c r="C140" s="96"/>
      <c r="D140" s="74"/>
      <c r="E140" s="97"/>
      <c r="F140" s="98"/>
      <c r="G140" s="97"/>
      <c r="H140" s="74"/>
      <c r="I140" s="98"/>
      <c r="J140" s="97"/>
      <c r="K140" s="74"/>
      <c r="L140" s="137"/>
    </row>
    <row r="141" spans="1:12" ht="24" customHeight="1" x14ac:dyDescent="0.4">
      <c r="A141" s="103"/>
      <c r="B141" s="99"/>
      <c r="C141" s="96"/>
      <c r="D141" s="74"/>
      <c r="E141" s="97"/>
      <c r="F141" s="98"/>
      <c r="G141" s="97"/>
      <c r="H141" s="74"/>
      <c r="I141" s="98"/>
      <c r="J141" s="97"/>
      <c r="K141" s="74"/>
      <c r="L141" s="137"/>
    </row>
    <row r="142" spans="1:12" ht="24" customHeight="1" x14ac:dyDescent="0.4">
      <c r="A142" s="103"/>
      <c r="B142" s="99"/>
      <c r="C142" s="96"/>
      <c r="D142" s="74"/>
      <c r="E142" s="97"/>
      <c r="F142" s="98"/>
      <c r="G142" s="97"/>
      <c r="H142" s="74"/>
      <c r="I142" s="98"/>
      <c r="J142" s="97"/>
      <c r="K142" s="74"/>
      <c r="L142" s="137"/>
    </row>
    <row r="143" spans="1:12" ht="24" customHeight="1" x14ac:dyDescent="0.4">
      <c r="A143" s="103"/>
      <c r="B143" s="99"/>
      <c r="C143" s="96"/>
      <c r="D143" s="74"/>
      <c r="E143" s="97"/>
      <c r="F143" s="98"/>
      <c r="G143" s="97"/>
      <c r="H143" s="74"/>
      <c r="I143" s="98"/>
      <c r="J143" s="97"/>
      <c r="K143" s="74"/>
      <c r="L143" s="137"/>
    </row>
    <row r="144" spans="1:12" ht="24" customHeight="1" x14ac:dyDescent="0.4">
      <c r="A144" s="103"/>
      <c r="B144" s="99"/>
      <c r="C144" s="96"/>
      <c r="D144" s="74"/>
      <c r="E144" s="97"/>
      <c r="F144" s="98"/>
      <c r="G144" s="97"/>
      <c r="H144" s="74"/>
      <c r="I144" s="98"/>
      <c r="J144" s="97"/>
      <c r="K144" s="74"/>
      <c r="L144" s="137"/>
    </row>
    <row r="145" spans="1:12" ht="24" customHeight="1" x14ac:dyDescent="0.4">
      <c r="A145" s="103"/>
      <c r="B145" s="99"/>
      <c r="C145" s="96"/>
      <c r="D145" s="74"/>
      <c r="E145" s="97"/>
      <c r="F145" s="98"/>
      <c r="G145" s="97"/>
      <c r="H145" s="74"/>
      <c r="I145" s="98"/>
      <c r="J145" s="97"/>
      <c r="K145" s="74"/>
      <c r="L145" s="137"/>
    </row>
    <row r="146" spans="1:12" ht="24" customHeight="1" x14ac:dyDescent="0.4">
      <c r="A146" s="103"/>
      <c r="B146" s="99"/>
      <c r="C146" s="96"/>
      <c r="D146" s="74"/>
      <c r="E146" s="97"/>
      <c r="F146" s="98"/>
      <c r="G146" s="97"/>
      <c r="H146" s="74"/>
      <c r="I146" s="98"/>
      <c r="J146" s="97"/>
      <c r="K146" s="74"/>
      <c r="L146" s="137"/>
    </row>
    <row r="147" spans="1:12" ht="24" customHeight="1" x14ac:dyDescent="0.4">
      <c r="A147" s="103"/>
      <c r="B147" s="99"/>
      <c r="C147" s="96"/>
      <c r="D147" s="74"/>
      <c r="E147" s="97"/>
      <c r="F147" s="98"/>
      <c r="G147" s="97"/>
      <c r="H147" s="74"/>
      <c r="I147" s="98"/>
      <c r="J147" s="97"/>
      <c r="K147" s="74"/>
      <c r="L147" s="137"/>
    </row>
    <row r="148" spans="1:12" ht="24" customHeight="1" x14ac:dyDescent="0.4">
      <c r="A148" s="103"/>
      <c r="B148" s="99"/>
      <c r="C148" s="96"/>
      <c r="D148" s="74"/>
      <c r="E148" s="97"/>
      <c r="F148" s="98"/>
      <c r="G148" s="97"/>
      <c r="H148" s="74"/>
      <c r="I148" s="98"/>
      <c r="J148" s="97"/>
      <c r="K148" s="74"/>
      <c r="L148" s="137"/>
    </row>
    <row r="149" spans="1:12" ht="24" customHeight="1" x14ac:dyDescent="0.4">
      <c r="A149" s="103"/>
      <c r="B149" s="99"/>
      <c r="C149" s="96"/>
      <c r="D149" s="74"/>
      <c r="E149" s="97"/>
      <c r="F149" s="98"/>
      <c r="G149" s="97"/>
      <c r="H149" s="74"/>
      <c r="I149" s="98"/>
      <c r="J149" s="97"/>
      <c r="K149" s="74"/>
      <c r="L149" s="137"/>
    </row>
    <row r="150" spans="1:12" ht="24" customHeight="1" x14ac:dyDescent="0.4">
      <c r="A150" s="103"/>
      <c r="B150" s="99"/>
      <c r="C150" s="96"/>
      <c r="D150" s="74"/>
      <c r="E150" s="97"/>
      <c r="F150" s="98"/>
      <c r="G150" s="97"/>
      <c r="H150" s="74"/>
      <c r="I150" s="98"/>
      <c r="J150" s="97"/>
      <c r="K150" s="74"/>
      <c r="L150" s="137"/>
    </row>
    <row r="151" spans="1:12" ht="24" customHeight="1" x14ac:dyDescent="0.4">
      <c r="A151" s="103"/>
      <c r="B151" s="99"/>
      <c r="C151" s="96"/>
      <c r="D151" s="74"/>
      <c r="E151" s="97"/>
      <c r="F151" s="98"/>
      <c r="G151" s="97"/>
      <c r="H151" s="74"/>
      <c r="I151" s="98"/>
      <c r="J151" s="97"/>
      <c r="K151" s="74"/>
      <c r="L151" s="137"/>
    </row>
    <row r="152" spans="1:12" ht="24" customHeight="1" x14ac:dyDescent="0.4">
      <c r="A152" s="103"/>
      <c r="B152" s="99"/>
      <c r="C152" s="96"/>
      <c r="D152" s="74"/>
      <c r="E152" s="97"/>
      <c r="F152" s="98"/>
      <c r="G152" s="97"/>
      <c r="H152" s="74"/>
      <c r="I152" s="98"/>
      <c r="J152" s="97"/>
      <c r="K152" s="74"/>
      <c r="L152" s="137"/>
    </row>
    <row r="153" spans="1:12" ht="24" customHeight="1" x14ac:dyDescent="0.4">
      <c r="A153" s="103"/>
      <c r="B153" s="99"/>
      <c r="C153" s="96"/>
      <c r="D153" s="74"/>
      <c r="E153" s="97"/>
      <c r="F153" s="98"/>
      <c r="G153" s="97"/>
      <c r="H153" s="74"/>
      <c r="I153" s="98"/>
      <c r="J153" s="97"/>
      <c r="K153" s="74"/>
      <c r="L153" s="137"/>
    </row>
    <row r="154" spans="1:12" ht="24" customHeight="1" x14ac:dyDescent="0.4">
      <c r="A154" s="103"/>
      <c r="B154" s="99"/>
      <c r="C154" s="96"/>
      <c r="D154" s="74"/>
      <c r="E154" s="97"/>
      <c r="F154" s="98"/>
      <c r="G154" s="97"/>
      <c r="H154" s="74"/>
      <c r="I154" s="98"/>
      <c r="J154" s="97"/>
      <c r="K154" s="74"/>
      <c r="L154" s="137"/>
    </row>
    <row r="155" spans="1:12" ht="24" customHeight="1" x14ac:dyDescent="0.4">
      <c r="A155" s="103"/>
      <c r="B155" s="99"/>
      <c r="C155" s="96"/>
      <c r="D155" s="74"/>
      <c r="E155" s="97"/>
      <c r="F155" s="98"/>
      <c r="G155" s="97"/>
      <c r="H155" s="74"/>
      <c r="I155" s="98"/>
      <c r="J155" s="97"/>
      <c r="K155" s="74"/>
      <c r="L155" s="137"/>
    </row>
    <row r="156" spans="1:12" ht="24" customHeight="1" x14ac:dyDescent="0.4">
      <c r="A156" s="103"/>
      <c r="B156" s="99"/>
      <c r="C156" s="96"/>
      <c r="D156" s="74"/>
      <c r="E156" s="97"/>
      <c r="F156" s="98"/>
      <c r="G156" s="97"/>
      <c r="H156" s="74"/>
      <c r="I156" s="98"/>
      <c r="J156" s="97"/>
      <c r="K156" s="74"/>
      <c r="L156" s="137"/>
    </row>
    <row r="157" spans="1:12" ht="24" customHeight="1" x14ac:dyDescent="0.4">
      <c r="A157" s="103"/>
      <c r="B157" s="99"/>
      <c r="C157" s="96"/>
      <c r="D157" s="74"/>
      <c r="E157" s="97"/>
      <c r="F157" s="98"/>
      <c r="G157" s="97"/>
      <c r="H157" s="74"/>
      <c r="I157" s="98"/>
      <c r="J157" s="97"/>
      <c r="K157" s="74"/>
      <c r="L157" s="137"/>
    </row>
    <row r="158" spans="1:12" ht="24" customHeight="1" x14ac:dyDescent="0.4">
      <c r="A158" s="103"/>
      <c r="B158" s="99"/>
      <c r="C158" s="96"/>
      <c r="D158" s="74"/>
      <c r="E158" s="97"/>
      <c r="F158" s="98"/>
      <c r="G158" s="97"/>
      <c r="H158" s="74"/>
      <c r="I158" s="98"/>
      <c r="J158" s="97"/>
      <c r="K158" s="74"/>
      <c r="L158" s="137"/>
    </row>
    <row r="159" spans="1:12" ht="24" customHeight="1" x14ac:dyDescent="0.4">
      <c r="A159" s="103"/>
      <c r="B159" s="99"/>
      <c r="C159" s="96"/>
      <c r="D159" s="74"/>
      <c r="E159" s="97"/>
      <c r="F159" s="98"/>
      <c r="G159" s="97"/>
      <c r="H159" s="74"/>
      <c r="I159" s="98"/>
      <c r="J159" s="97"/>
      <c r="K159" s="74"/>
      <c r="L159" s="137"/>
    </row>
    <row r="160" spans="1:12" ht="24" customHeight="1" x14ac:dyDescent="0.4">
      <c r="A160" s="103"/>
      <c r="B160" s="99"/>
      <c r="C160" s="96"/>
      <c r="D160" s="74"/>
      <c r="E160" s="97"/>
      <c r="F160" s="98"/>
      <c r="G160" s="97"/>
      <c r="H160" s="74"/>
      <c r="I160" s="98"/>
      <c r="J160" s="97"/>
      <c r="K160" s="74"/>
      <c r="L160" s="137"/>
    </row>
    <row r="161" spans="1:12" ht="24" customHeight="1" x14ac:dyDescent="0.4">
      <c r="A161" s="103"/>
      <c r="B161" s="99"/>
      <c r="C161" s="96"/>
      <c r="D161" s="74"/>
      <c r="E161" s="97"/>
      <c r="F161" s="98"/>
      <c r="G161" s="97"/>
      <c r="H161" s="74"/>
      <c r="I161" s="98"/>
      <c r="J161" s="97"/>
      <c r="K161" s="74"/>
      <c r="L161" s="137"/>
    </row>
    <row r="162" spans="1:12" ht="24" customHeight="1" x14ac:dyDescent="0.4">
      <c r="A162" s="103"/>
      <c r="B162" s="99"/>
      <c r="C162" s="96"/>
      <c r="D162" s="74"/>
      <c r="E162" s="97"/>
      <c r="F162" s="98"/>
      <c r="G162" s="97"/>
      <c r="H162" s="74"/>
      <c r="I162" s="98"/>
      <c r="J162" s="97"/>
      <c r="K162" s="74"/>
      <c r="L162" s="137"/>
    </row>
    <row r="163" spans="1:12" ht="24" customHeight="1" x14ac:dyDescent="0.4">
      <c r="A163" s="103"/>
      <c r="B163" s="99"/>
      <c r="C163" s="96"/>
      <c r="D163" s="74"/>
      <c r="E163" s="97"/>
      <c r="F163" s="98"/>
      <c r="G163" s="97"/>
      <c r="H163" s="74"/>
      <c r="I163" s="98"/>
      <c r="J163" s="97"/>
      <c r="K163" s="74"/>
      <c r="L163" s="137"/>
    </row>
    <row r="164" spans="1:12" ht="24" customHeight="1" x14ac:dyDescent="0.4">
      <c r="A164" s="103"/>
      <c r="B164" s="99"/>
      <c r="C164" s="96"/>
      <c r="D164" s="74"/>
      <c r="E164" s="97"/>
      <c r="F164" s="98"/>
      <c r="G164" s="97"/>
      <c r="H164" s="74"/>
      <c r="I164" s="98"/>
      <c r="J164" s="97"/>
      <c r="K164" s="74"/>
      <c r="L164" s="137"/>
    </row>
    <row r="165" spans="1:12" ht="24" customHeight="1" x14ac:dyDescent="0.4">
      <c r="A165" s="103"/>
      <c r="B165" s="99"/>
      <c r="C165" s="96"/>
      <c r="D165" s="74"/>
      <c r="E165" s="97"/>
      <c r="F165" s="98"/>
      <c r="G165" s="97"/>
      <c r="H165" s="74"/>
      <c r="I165" s="98"/>
      <c r="J165" s="97"/>
      <c r="K165" s="74"/>
      <c r="L165" s="137"/>
    </row>
    <row r="166" spans="1:12" ht="24" customHeight="1" x14ac:dyDescent="0.4">
      <c r="A166" s="103"/>
      <c r="B166" s="99"/>
      <c r="C166" s="96"/>
      <c r="D166" s="74"/>
      <c r="E166" s="97"/>
      <c r="F166" s="98"/>
      <c r="G166" s="97"/>
      <c r="H166" s="74"/>
      <c r="I166" s="98"/>
      <c r="J166" s="97"/>
      <c r="K166" s="74"/>
      <c r="L166" s="137"/>
    </row>
    <row r="167" spans="1:12" ht="24" customHeight="1" x14ac:dyDescent="0.4">
      <c r="A167" s="103"/>
      <c r="B167" s="99"/>
      <c r="C167" s="96"/>
      <c r="D167" s="74"/>
      <c r="E167" s="97"/>
      <c r="F167" s="98"/>
      <c r="G167" s="97"/>
      <c r="H167" s="74"/>
      <c r="I167" s="98"/>
      <c r="J167" s="97"/>
      <c r="K167" s="74"/>
      <c r="L167" s="137"/>
    </row>
    <row r="168" spans="1:12" ht="24" customHeight="1" x14ac:dyDescent="0.4">
      <c r="A168" s="103"/>
      <c r="B168" s="99"/>
      <c r="C168" s="96"/>
      <c r="D168" s="74"/>
      <c r="E168" s="97"/>
      <c r="F168" s="98"/>
      <c r="G168" s="97"/>
      <c r="H168" s="74"/>
      <c r="I168" s="98"/>
      <c r="J168" s="97"/>
      <c r="K168" s="74"/>
      <c r="L168" s="137"/>
    </row>
    <row r="169" spans="1:12" ht="24" customHeight="1" x14ac:dyDescent="0.4">
      <c r="A169" s="103"/>
      <c r="B169" s="99"/>
      <c r="C169" s="96"/>
      <c r="D169" s="74"/>
      <c r="E169" s="97"/>
      <c r="F169" s="98"/>
      <c r="G169" s="97"/>
      <c r="H169" s="74"/>
      <c r="I169" s="98"/>
      <c r="J169" s="97"/>
      <c r="K169" s="74"/>
      <c r="L169" s="137"/>
    </row>
    <row r="170" spans="1:12" ht="24" customHeight="1" x14ac:dyDescent="0.4">
      <c r="A170" s="103"/>
      <c r="B170" s="99"/>
      <c r="C170" s="96"/>
      <c r="D170" s="74"/>
      <c r="E170" s="97"/>
      <c r="F170" s="98"/>
      <c r="G170" s="97"/>
      <c r="H170" s="74"/>
      <c r="I170" s="98"/>
      <c r="J170" s="97"/>
      <c r="K170" s="74"/>
      <c r="L170" s="137"/>
    </row>
    <row r="171" spans="1:12" ht="24" customHeight="1" x14ac:dyDescent="0.4">
      <c r="A171" s="103"/>
      <c r="B171" s="99"/>
      <c r="C171" s="96"/>
      <c r="D171" s="74"/>
      <c r="E171" s="97"/>
      <c r="F171" s="98"/>
      <c r="G171" s="97"/>
      <c r="H171" s="74"/>
      <c r="I171" s="98"/>
      <c r="J171" s="97"/>
      <c r="K171" s="74"/>
      <c r="L171" s="137"/>
    </row>
    <row r="172" spans="1:12" ht="24" customHeight="1" x14ac:dyDescent="0.4">
      <c r="A172" s="103"/>
      <c r="B172" s="99"/>
      <c r="C172" s="96"/>
      <c r="D172" s="74"/>
      <c r="E172" s="97"/>
      <c r="F172" s="98"/>
      <c r="G172" s="97"/>
      <c r="H172" s="74"/>
      <c r="I172" s="98"/>
      <c r="J172" s="97"/>
      <c r="K172" s="74"/>
      <c r="L172" s="137"/>
    </row>
    <row r="173" spans="1:12" ht="24" customHeight="1" x14ac:dyDescent="0.4">
      <c r="A173" s="103"/>
      <c r="B173" s="99"/>
      <c r="C173" s="96"/>
      <c r="D173" s="74"/>
      <c r="E173" s="97"/>
      <c r="F173" s="98"/>
      <c r="G173" s="97"/>
      <c r="H173" s="74"/>
      <c r="I173" s="98"/>
      <c r="J173" s="97"/>
      <c r="K173" s="74"/>
      <c r="L173" s="137"/>
    </row>
    <row r="174" spans="1:12" ht="24" customHeight="1" x14ac:dyDescent="0.4">
      <c r="A174" s="103"/>
      <c r="B174" s="99"/>
      <c r="C174" s="96"/>
      <c r="D174" s="74"/>
      <c r="E174" s="97"/>
      <c r="F174" s="98"/>
      <c r="G174" s="97"/>
      <c r="H174" s="74"/>
      <c r="I174" s="98"/>
      <c r="J174" s="97"/>
      <c r="K174" s="74"/>
      <c r="L174" s="137"/>
    </row>
    <row r="175" spans="1:12" ht="24" customHeight="1" x14ac:dyDescent="0.4">
      <c r="A175" s="103"/>
      <c r="B175" s="99"/>
      <c r="C175" s="96"/>
      <c r="D175" s="74"/>
      <c r="E175" s="97"/>
      <c r="F175" s="98"/>
      <c r="G175" s="97"/>
      <c r="H175" s="74"/>
      <c r="I175" s="98"/>
      <c r="J175" s="97"/>
      <c r="K175" s="74"/>
      <c r="L175" s="137"/>
    </row>
    <row r="176" spans="1:12" ht="24" customHeight="1" x14ac:dyDescent="0.4">
      <c r="A176" s="103"/>
      <c r="B176" s="99"/>
      <c r="C176" s="96"/>
      <c r="D176" s="74"/>
      <c r="E176" s="97"/>
      <c r="F176" s="98"/>
      <c r="G176" s="97"/>
      <c r="H176" s="74"/>
      <c r="I176" s="98"/>
      <c r="J176" s="97"/>
      <c r="K176" s="74"/>
      <c r="L176" s="137"/>
    </row>
    <row r="177" spans="1:12" ht="24" customHeight="1" x14ac:dyDescent="0.4">
      <c r="A177" s="103"/>
      <c r="B177" s="99"/>
      <c r="C177" s="96"/>
      <c r="D177" s="74"/>
      <c r="E177" s="97"/>
      <c r="F177" s="98"/>
      <c r="G177" s="97"/>
      <c r="H177" s="74"/>
      <c r="I177" s="98"/>
      <c r="J177" s="97"/>
      <c r="K177" s="74"/>
      <c r="L177" s="137"/>
    </row>
    <row r="178" spans="1:12" ht="24" customHeight="1" x14ac:dyDescent="0.4">
      <c r="A178" s="103"/>
      <c r="B178" s="99"/>
      <c r="C178" s="96"/>
      <c r="D178" s="74"/>
      <c r="E178" s="97"/>
      <c r="F178" s="98"/>
      <c r="G178" s="97"/>
      <c r="H178" s="74"/>
      <c r="I178" s="98"/>
      <c r="J178" s="97"/>
      <c r="K178" s="74"/>
      <c r="L178" s="137"/>
    </row>
    <row r="179" spans="1:12" ht="24" customHeight="1" x14ac:dyDescent="0.4">
      <c r="A179" s="103"/>
      <c r="B179" s="99"/>
      <c r="C179" s="96"/>
      <c r="D179" s="74"/>
      <c r="E179" s="97"/>
      <c r="F179" s="98"/>
      <c r="G179" s="97"/>
      <c r="H179" s="74"/>
      <c r="I179" s="98"/>
      <c r="J179" s="97"/>
      <c r="K179" s="74"/>
      <c r="L179" s="137"/>
    </row>
    <row r="180" spans="1:12" ht="24" customHeight="1" x14ac:dyDescent="0.4">
      <c r="A180" s="103"/>
      <c r="B180" s="99"/>
      <c r="C180" s="96"/>
      <c r="D180" s="74"/>
      <c r="E180" s="97"/>
      <c r="F180" s="98"/>
      <c r="G180" s="97"/>
      <c r="H180" s="74"/>
      <c r="I180" s="98"/>
      <c r="J180" s="97"/>
      <c r="K180" s="74"/>
      <c r="L180" s="137"/>
    </row>
    <row r="181" spans="1:12" ht="24" customHeight="1" x14ac:dyDescent="0.4">
      <c r="A181" s="103"/>
      <c r="B181" s="99"/>
      <c r="C181" s="96"/>
      <c r="D181" s="74"/>
      <c r="E181" s="97"/>
      <c r="F181" s="98"/>
      <c r="G181" s="97"/>
      <c r="H181" s="74"/>
      <c r="I181" s="98"/>
      <c r="J181" s="97"/>
      <c r="K181" s="74"/>
      <c r="L181" s="137"/>
    </row>
    <row r="182" spans="1:12" ht="24" customHeight="1" x14ac:dyDescent="0.4">
      <c r="A182" s="103"/>
      <c r="B182" s="99"/>
      <c r="C182" s="96"/>
      <c r="D182" s="74"/>
      <c r="E182" s="97"/>
      <c r="F182" s="98"/>
      <c r="G182" s="97"/>
      <c r="H182" s="74"/>
      <c r="I182" s="98"/>
      <c r="J182" s="97"/>
      <c r="K182" s="74"/>
      <c r="L182" s="137"/>
    </row>
    <row r="183" spans="1:12" ht="24" customHeight="1" x14ac:dyDescent="0.4">
      <c r="A183" s="103"/>
      <c r="B183" s="99"/>
      <c r="C183" s="96"/>
      <c r="D183" s="74"/>
      <c r="E183" s="97"/>
      <c r="F183" s="98"/>
      <c r="G183" s="97"/>
      <c r="H183" s="74"/>
      <c r="I183" s="98"/>
      <c r="J183" s="97"/>
      <c r="K183" s="74"/>
      <c r="L183" s="137"/>
    </row>
    <row r="184" spans="1:12" ht="24" customHeight="1" x14ac:dyDescent="0.4">
      <c r="A184" s="103"/>
      <c r="B184" s="99"/>
      <c r="C184" s="96"/>
      <c r="D184" s="74"/>
      <c r="E184" s="97"/>
      <c r="F184" s="98"/>
      <c r="G184" s="97"/>
      <c r="H184" s="74"/>
      <c r="I184" s="98"/>
      <c r="J184" s="97"/>
      <c r="K184" s="74"/>
      <c r="L184" s="137"/>
    </row>
    <row r="185" spans="1:12" ht="24" customHeight="1" x14ac:dyDescent="0.4">
      <c r="A185" s="103"/>
      <c r="B185" s="99"/>
      <c r="C185" s="96"/>
      <c r="D185" s="74"/>
      <c r="E185" s="97"/>
      <c r="F185" s="98"/>
      <c r="G185" s="97"/>
      <c r="H185" s="74"/>
      <c r="I185" s="98"/>
      <c r="J185" s="97"/>
      <c r="K185" s="74"/>
      <c r="L185" s="137"/>
    </row>
    <row r="186" spans="1:12" ht="24" customHeight="1" x14ac:dyDescent="0.4">
      <c r="A186" s="103"/>
      <c r="B186" s="99"/>
      <c r="C186" s="96"/>
      <c r="D186" s="74"/>
      <c r="E186" s="97"/>
      <c r="F186" s="98"/>
      <c r="G186" s="97"/>
      <c r="H186" s="74"/>
      <c r="I186" s="98"/>
      <c r="J186" s="97"/>
      <c r="K186" s="74"/>
      <c r="L186" s="137"/>
    </row>
    <row r="187" spans="1:12" ht="24" customHeight="1" x14ac:dyDescent="0.4">
      <c r="A187" s="103"/>
      <c r="B187" s="99"/>
      <c r="C187" s="96"/>
      <c r="D187" s="74"/>
      <c r="E187" s="97"/>
      <c r="F187" s="98"/>
      <c r="G187" s="97"/>
      <c r="H187" s="74"/>
      <c r="I187" s="98"/>
      <c r="J187" s="97"/>
      <c r="K187" s="74"/>
      <c r="L187" s="137"/>
    </row>
    <row r="188" spans="1:12" ht="24" customHeight="1" x14ac:dyDescent="0.4">
      <c r="A188" s="103"/>
      <c r="B188" s="99"/>
      <c r="C188" s="96"/>
      <c r="D188" s="74"/>
      <c r="E188" s="97"/>
      <c r="F188" s="98"/>
      <c r="G188" s="97"/>
      <c r="H188" s="74"/>
      <c r="I188" s="98"/>
      <c r="J188" s="97"/>
      <c r="K188" s="74"/>
      <c r="L188" s="137"/>
    </row>
    <row r="189" spans="1:12" ht="24" customHeight="1" x14ac:dyDescent="0.4">
      <c r="A189" s="103"/>
      <c r="B189" s="99"/>
      <c r="C189" s="96"/>
      <c r="D189" s="74"/>
      <c r="E189" s="97"/>
      <c r="F189" s="98"/>
      <c r="G189" s="97"/>
      <c r="H189" s="74"/>
      <c r="I189" s="98"/>
      <c r="J189" s="97"/>
      <c r="K189" s="74"/>
      <c r="L189" s="137"/>
    </row>
    <row r="190" spans="1:12" ht="24" customHeight="1" x14ac:dyDescent="0.4">
      <c r="A190" s="103"/>
      <c r="B190" s="99"/>
      <c r="C190" s="96"/>
      <c r="D190" s="74"/>
      <c r="E190" s="97"/>
      <c r="F190" s="98"/>
      <c r="G190" s="97"/>
      <c r="H190" s="74"/>
      <c r="I190" s="98"/>
      <c r="J190" s="97"/>
      <c r="K190" s="74"/>
      <c r="L190" s="137"/>
    </row>
    <row r="191" spans="1:12" ht="24" customHeight="1" x14ac:dyDescent="0.4">
      <c r="A191" s="103"/>
      <c r="B191" s="99"/>
      <c r="C191" s="96"/>
      <c r="D191" s="74"/>
      <c r="E191" s="97"/>
      <c r="F191" s="98"/>
      <c r="G191" s="97"/>
      <c r="H191" s="74"/>
      <c r="I191" s="98"/>
      <c r="J191" s="97"/>
      <c r="K191" s="74"/>
      <c r="L191" s="137"/>
    </row>
    <row r="192" spans="1:12" ht="24" customHeight="1" x14ac:dyDescent="0.4">
      <c r="A192" s="103"/>
      <c r="B192" s="99"/>
      <c r="C192" s="96"/>
      <c r="D192" s="74"/>
      <c r="E192" s="97"/>
      <c r="F192" s="98"/>
      <c r="G192" s="97"/>
      <c r="H192" s="74"/>
      <c r="I192" s="98"/>
      <c r="J192" s="97"/>
      <c r="K192" s="74"/>
      <c r="L192" s="137"/>
    </row>
    <row r="193" spans="1:12" ht="24" customHeight="1" x14ac:dyDescent="0.4">
      <c r="A193" s="103"/>
      <c r="B193" s="99"/>
      <c r="C193" s="96"/>
      <c r="D193" s="74"/>
      <c r="E193" s="97"/>
      <c r="F193" s="98"/>
      <c r="G193" s="97"/>
      <c r="H193" s="74"/>
      <c r="I193" s="98"/>
      <c r="J193" s="97"/>
      <c r="K193" s="74"/>
      <c r="L193" s="137"/>
    </row>
    <row r="194" spans="1:12" ht="24" customHeight="1" x14ac:dyDescent="0.4">
      <c r="A194" s="103"/>
      <c r="B194" s="99"/>
      <c r="C194" s="96"/>
      <c r="D194" s="74"/>
      <c r="E194" s="97"/>
      <c r="F194" s="98"/>
      <c r="G194" s="97"/>
      <c r="H194" s="74"/>
      <c r="I194" s="98"/>
      <c r="J194" s="97"/>
      <c r="K194" s="74"/>
      <c r="L194" s="137"/>
    </row>
    <row r="195" spans="1:12" ht="24" customHeight="1" x14ac:dyDescent="0.4">
      <c r="A195" s="103"/>
      <c r="B195" s="99"/>
      <c r="C195" s="96"/>
      <c r="D195" s="74"/>
      <c r="E195" s="97"/>
      <c r="F195" s="98"/>
      <c r="G195" s="97"/>
      <c r="H195" s="74"/>
      <c r="I195" s="98"/>
      <c r="J195" s="97"/>
      <c r="K195" s="74"/>
      <c r="L195" s="137"/>
    </row>
    <row r="196" spans="1:12" ht="24" customHeight="1" x14ac:dyDescent="0.4">
      <c r="A196" s="103"/>
      <c r="B196" s="99"/>
      <c r="C196" s="96"/>
      <c r="D196" s="74"/>
      <c r="E196" s="97"/>
      <c r="F196" s="98"/>
      <c r="G196" s="97"/>
      <c r="H196" s="74"/>
      <c r="I196" s="98"/>
      <c r="J196" s="97"/>
      <c r="K196" s="74"/>
      <c r="L196" s="137"/>
    </row>
    <row r="197" spans="1:12" ht="24" customHeight="1" x14ac:dyDescent="0.4">
      <c r="A197" s="103"/>
      <c r="B197" s="99"/>
      <c r="C197" s="96"/>
      <c r="D197" s="74"/>
      <c r="E197" s="97"/>
      <c r="F197" s="98"/>
      <c r="G197" s="97"/>
      <c r="H197" s="74"/>
      <c r="I197" s="98"/>
      <c r="J197" s="97"/>
      <c r="K197" s="74"/>
      <c r="L197" s="137"/>
    </row>
    <row r="198" spans="1:12" ht="24" customHeight="1" x14ac:dyDescent="0.4">
      <c r="A198" s="103"/>
      <c r="B198" s="99"/>
      <c r="C198" s="96"/>
      <c r="D198" s="74"/>
      <c r="E198" s="97"/>
      <c r="F198" s="98"/>
      <c r="G198" s="97"/>
      <c r="H198" s="74"/>
      <c r="I198" s="98"/>
      <c r="J198" s="97"/>
      <c r="K198" s="74"/>
      <c r="L198" s="137"/>
    </row>
    <row r="199" spans="1:12" ht="24" customHeight="1" x14ac:dyDescent="0.4">
      <c r="A199" s="103"/>
      <c r="B199" s="99"/>
      <c r="C199" s="96"/>
      <c r="D199" s="74"/>
      <c r="E199" s="97"/>
      <c r="F199" s="98"/>
      <c r="G199" s="97"/>
      <c r="H199" s="74"/>
      <c r="I199" s="98"/>
      <c r="J199" s="97"/>
      <c r="K199" s="74"/>
      <c r="L199" s="137"/>
    </row>
    <row r="200" spans="1:12" ht="24" customHeight="1" x14ac:dyDescent="0.4">
      <c r="A200" s="103"/>
      <c r="B200" s="99"/>
      <c r="C200" s="96"/>
      <c r="D200" s="74"/>
      <c r="E200" s="97"/>
      <c r="F200" s="98"/>
      <c r="G200" s="97"/>
      <c r="H200" s="74"/>
      <c r="I200" s="98"/>
      <c r="J200" s="97"/>
      <c r="K200" s="74"/>
      <c r="L200" s="137"/>
    </row>
    <row r="201" spans="1:12" ht="24" customHeight="1" x14ac:dyDescent="0.4">
      <c r="A201" s="103"/>
      <c r="B201" s="99"/>
      <c r="C201" s="96"/>
      <c r="D201" s="74"/>
      <c r="E201" s="97"/>
      <c r="F201" s="98"/>
      <c r="G201" s="97"/>
      <c r="H201" s="74"/>
      <c r="I201" s="98"/>
      <c r="J201" s="97"/>
      <c r="K201" s="74"/>
      <c r="L201" s="137"/>
    </row>
    <row r="202" spans="1:12" ht="24" customHeight="1" x14ac:dyDescent="0.4">
      <c r="A202" s="103"/>
      <c r="B202" s="99"/>
      <c r="C202" s="96"/>
      <c r="D202" s="74"/>
      <c r="E202" s="97"/>
      <c r="F202" s="98"/>
      <c r="G202" s="97"/>
      <c r="H202" s="74"/>
      <c r="I202" s="98"/>
      <c r="J202" s="97"/>
      <c r="K202" s="74"/>
      <c r="L202" s="137"/>
    </row>
    <row r="203" spans="1:12" ht="24" customHeight="1" x14ac:dyDescent="0.4">
      <c r="A203" s="103"/>
      <c r="B203" s="99"/>
      <c r="C203" s="96"/>
      <c r="D203" s="74"/>
      <c r="E203" s="97"/>
      <c r="F203" s="98"/>
      <c r="G203" s="97"/>
      <c r="H203" s="74"/>
      <c r="I203" s="98"/>
      <c r="J203" s="97"/>
      <c r="K203" s="74"/>
      <c r="L203" s="137"/>
    </row>
    <row r="204" spans="1:12" ht="24" customHeight="1" x14ac:dyDescent="0.4">
      <c r="A204" s="103"/>
      <c r="B204" s="99"/>
      <c r="C204" s="96"/>
      <c r="D204" s="74"/>
      <c r="E204" s="97"/>
      <c r="F204" s="98"/>
      <c r="G204" s="97"/>
      <c r="H204" s="74"/>
      <c r="I204" s="98"/>
      <c r="J204" s="97"/>
      <c r="K204" s="74"/>
      <c r="L204" s="137"/>
    </row>
    <row r="205" spans="1:12" ht="24" customHeight="1" x14ac:dyDescent="0.4">
      <c r="A205" s="103"/>
      <c r="B205" s="99"/>
      <c r="C205" s="96"/>
      <c r="D205" s="74"/>
      <c r="E205" s="97"/>
      <c r="F205" s="98"/>
      <c r="G205" s="97"/>
      <c r="H205" s="74"/>
      <c r="I205" s="98"/>
      <c r="J205" s="97"/>
      <c r="K205" s="74"/>
      <c r="L205" s="137"/>
    </row>
    <row r="206" spans="1:12" ht="24" customHeight="1" x14ac:dyDescent="0.4">
      <c r="A206" s="103"/>
      <c r="B206" s="99"/>
      <c r="C206" s="96"/>
      <c r="D206" s="74"/>
      <c r="E206" s="97"/>
      <c r="F206" s="98"/>
      <c r="G206" s="97"/>
      <c r="H206" s="74"/>
      <c r="I206" s="98"/>
      <c r="J206" s="97"/>
      <c r="K206" s="74"/>
      <c r="L206" s="137"/>
    </row>
    <row r="207" spans="1:12" ht="24" customHeight="1" x14ac:dyDescent="0.4">
      <c r="A207" s="103"/>
      <c r="B207" s="99"/>
      <c r="C207" s="96"/>
      <c r="D207" s="74"/>
      <c r="E207" s="97"/>
      <c r="F207" s="98"/>
      <c r="G207" s="97"/>
      <c r="H207" s="74"/>
      <c r="I207" s="98"/>
      <c r="J207" s="97"/>
      <c r="K207" s="74"/>
      <c r="L207" s="137"/>
    </row>
    <row r="208" spans="1:12" ht="24" customHeight="1" x14ac:dyDescent="0.4">
      <c r="A208" s="103"/>
      <c r="B208" s="99"/>
      <c r="C208" s="96"/>
      <c r="D208" s="74"/>
      <c r="E208" s="97"/>
      <c r="F208" s="98"/>
      <c r="G208" s="97"/>
      <c r="H208" s="74"/>
      <c r="I208" s="98"/>
      <c r="J208" s="97"/>
      <c r="K208" s="74"/>
      <c r="L208" s="137"/>
    </row>
    <row r="209" spans="1:12" ht="24" customHeight="1" x14ac:dyDescent="0.4">
      <c r="A209" s="103"/>
      <c r="B209" s="99"/>
      <c r="C209" s="96"/>
      <c r="D209" s="74"/>
      <c r="E209" s="97"/>
      <c r="F209" s="98"/>
      <c r="G209" s="97"/>
      <c r="H209" s="74"/>
      <c r="I209" s="98"/>
      <c r="J209" s="97"/>
      <c r="K209" s="74"/>
      <c r="L209" s="137"/>
    </row>
    <row r="210" spans="1:12" ht="24" customHeight="1" x14ac:dyDescent="0.4">
      <c r="A210" s="103"/>
      <c r="B210" s="99"/>
      <c r="C210" s="96"/>
      <c r="D210" s="74"/>
      <c r="E210" s="97"/>
      <c r="F210" s="98"/>
      <c r="G210" s="97"/>
      <c r="H210" s="74"/>
      <c r="I210" s="98"/>
      <c r="J210" s="97"/>
      <c r="K210" s="74"/>
      <c r="L210" s="137"/>
    </row>
    <row r="211" spans="1:12" ht="24" customHeight="1" x14ac:dyDescent="0.4">
      <c r="A211" s="103"/>
      <c r="B211" s="99"/>
      <c r="C211" s="96"/>
      <c r="D211" s="74"/>
      <c r="E211" s="97"/>
      <c r="F211" s="98"/>
      <c r="G211" s="97"/>
      <c r="H211" s="74"/>
      <c r="I211" s="98"/>
      <c r="J211" s="97"/>
      <c r="K211" s="74"/>
      <c r="L211" s="137"/>
    </row>
    <row r="212" spans="1:12" ht="24" customHeight="1" x14ac:dyDescent="0.4">
      <c r="A212" s="103"/>
      <c r="B212" s="99"/>
      <c r="C212" s="96"/>
      <c r="D212" s="74"/>
      <c r="E212" s="97"/>
      <c r="F212" s="98"/>
      <c r="G212" s="97"/>
      <c r="H212" s="74"/>
      <c r="I212" s="98"/>
      <c r="J212" s="97"/>
      <c r="K212" s="74"/>
      <c r="L212" s="137"/>
    </row>
    <row r="213" spans="1:12" ht="24" customHeight="1" x14ac:dyDescent="0.4">
      <c r="A213" s="103"/>
      <c r="B213" s="99"/>
      <c r="C213" s="96"/>
      <c r="D213" s="74"/>
      <c r="E213" s="97"/>
      <c r="F213" s="98"/>
      <c r="G213" s="97"/>
      <c r="H213" s="74"/>
      <c r="I213" s="98"/>
      <c r="J213" s="97"/>
      <c r="K213" s="74"/>
      <c r="L213" s="137"/>
    </row>
    <row r="214" spans="1:12" ht="24" customHeight="1" x14ac:dyDescent="0.4">
      <c r="A214" s="103"/>
      <c r="B214" s="99"/>
      <c r="C214" s="96"/>
      <c r="D214" s="74"/>
      <c r="E214" s="97"/>
      <c r="F214" s="98"/>
      <c r="G214" s="97"/>
      <c r="H214" s="74"/>
      <c r="I214" s="98"/>
      <c r="J214" s="97"/>
      <c r="K214" s="74"/>
      <c r="L214" s="137"/>
    </row>
    <row r="215" spans="1:12" ht="24" customHeight="1" x14ac:dyDescent="0.4">
      <c r="A215" s="103"/>
      <c r="B215" s="99"/>
      <c r="C215" s="96"/>
      <c r="D215" s="74"/>
      <c r="E215" s="97"/>
      <c r="F215" s="98"/>
      <c r="G215" s="97"/>
      <c r="H215" s="74"/>
      <c r="I215" s="98"/>
      <c r="J215" s="97"/>
      <c r="K215" s="74"/>
      <c r="L215" s="137"/>
    </row>
    <row r="216" spans="1:12" ht="24" customHeight="1" x14ac:dyDescent="0.4">
      <c r="A216" s="103"/>
      <c r="B216" s="99"/>
      <c r="C216" s="96"/>
      <c r="D216" s="74"/>
      <c r="E216" s="97"/>
      <c r="F216" s="98"/>
      <c r="G216" s="97"/>
      <c r="H216" s="74"/>
      <c r="I216" s="98"/>
      <c r="J216" s="97"/>
      <c r="K216" s="74"/>
      <c r="L216" s="137"/>
    </row>
    <row r="217" spans="1:12" ht="24" customHeight="1" x14ac:dyDescent="0.4">
      <c r="A217" s="103"/>
      <c r="B217" s="99"/>
      <c r="C217" s="96"/>
      <c r="D217" s="74"/>
      <c r="E217" s="97"/>
      <c r="F217" s="98"/>
      <c r="G217" s="97"/>
      <c r="H217" s="74"/>
      <c r="I217" s="98"/>
      <c r="J217" s="97"/>
      <c r="K217" s="74"/>
      <c r="L217" s="137"/>
    </row>
    <row r="218" spans="1:12" ht="24" customHeight="1" x14ac:dyDescent="0.4">
      <c r="A218" s="103"/>
      <c r="B218" s="99"/>
      <c r="C218" s="96"/>
      <c r="D218" s="74"/>
      <c r="E218" s="97"/>
      <c r="F218" s="98"/>
      <c r="G218" s="97"/>
      <c r="H218" s="74"/>
      <c r="I218" s="98"/>
      <c r="J218" s="97"/>
      <c r="K218" s="74"/>
      <c r="L218" s="137"/>
    </row>
    <row r="219" spans="1:12" ht="24" customHeight="1" x14ac:dyDescent="0.4">
      <c r="A219" s="103"/>
      <c r="B219" s="99"/>
      <c r="C219" s="96"/>
      <c r="D219" s="74"/>
      <c r="E219" s="97"/>
      <c r="F219" s="98"/>
      <c r="G219" s="97"/>
      <c r="H219" s="74"/>
      <c r="I219" s="98"/>
      <c r="J219" s="97"/>
      <c r="K219" s="74"/>
      <c r="L219" s="137"/>
    </row>
    <row r="220" spans="1:12" ht="24" customHeight="1" x14ac:dyDescent="0.4">
      <c r="A220" s="103"/>
      <c r="B220" s="99"/>
      <c r="C220" s="96"/>
      <c r="D220" s="74"/>
      <c r="E220" s="97"/>
      <c r="F220" s="98"/>
      <c r="G220" s="97"/>
      <c r="H220" s="74"/>
      <c r="I220" s="98"/>
      <c r="J220" s="97"/>
      <c r="K220" s="74"/>
      <c r="L220" s="137"/>
    </row>
    <row r="221" spans="1:12" ht="24" customHeight="1" x14ac:dyDescent="0.4">
      <c r="A221" s="103"/>
      <c r="B221" s="99"/>
      <c r="C221" s="96"/>
      <c r="D221" s="74"/>
      <c r="E221" s="97"/>
      <c r="F221" s="98"/>
      <c r="G221" s="97"/>
      <c r="H221" s="74"/>
      <c r="I221" s="98"/>
      <c r="J221" s="97"/>
      <c r="K221" s="74"/>
      <c r="L221" s="137"/>
    </row>
    <row r="222" spans="1:12" ht="24" customHeight="1" x14ac:dyDescent="0.4">
      <c r="A222" s="103"/>
      <c r="B222" s="99"/>
      <c r="C222" s="96"/>
      <c r="D222" s="74"/>
      <c r="E222" s="97"/>
      <c r="F222" s="98"/>
      <c r="G222" s="97"/>
      <c r="H222" s="74"/>
      <c r="I222" s="98"/>
      <c r="J222" s="97"/>
      <c r="K222" s="74"/>
      <c r="L222" s="137"/>
    </row>
    <row r="223" spans="1:12" ht="24" customHeight="1" x14ac:dyDescent="0.4">
      <c r="A223" s="103"/>
      <c r="B223" s="99"/>
      <c r="C223" s="96"/>
      <c r="D223" s="74"/>
      <c r="E223" s="97"/>
      <c r="F223" s="98"/>
      <c r="G223" s="97"/>
      <c r="H223" s="74"/>
      <c r="I223" s="98"/>
      <c r="J223" s="97"/>
      <c r="K223" s="74"/>
      <c r="L223" s="137"/>
    </row>
    <row r="224" spans="1:12" ht="24" customHeight="1" x14ac:dyDescent="0.4">
      <c r="A224" s="103"/>
      <c r="B224" s="99"/>
      <c r="C224" s="96"/>
      <c r="D224" s="74"/>
      <c r="E224" s="97"/>
      <c r="F224" s="98"/>
      <c r="G224" s="97"/>
      <c r="H224" s="74"/>
      <c r="I224" s="98"/>
      <c r="J224" s="97"/>
      <c r="K224" s="74"/>
      <c r="L224" s="137"/>
    </row>
    <row r="225" spans="1:12" ht="24" customHeight="1" x14ac:dyDescent="0.4">
      <c r="A225" s="103"/>
      <c r="B225" s="99"/>
      <c r="C225" s="96"/>
      <c r="D225" s="74"/>
      <c r="E225" s="97"/>
      <c r="F225" s="98"/>
      <c r="G225" s="97"/>
      <c r="H225" s="74"/>
      <c r="I225" s="98"/>
      <c r="J225" s="97"/>
      <c r="K225" s="74"/>
      <c r="L225" s="137"/>
    </row>
    <row r="226" spans="1:12" ht="24" customHeight="1" x14ac:dyDescent="0.4">
      <c r="A226" s="103"/>
      <c r="B226" s="99"/>
      <c r="C226" s="96"/>
      <c r="D226" s="74"/>
      <c r="E226" s="97"/>
      <c r="F226" s="98"/>
      <c r="G226" s="97"/>
      <c r="H226" s="74"/>
      <c r="I226" s="98"/>
      <c r="J226" s="97"/>
      <c r="K226" s="74"/>
      <c r="L226" s="137"/>
    </row>
  </sheetData>
  <autoFilter ref="A2:L96" xr:uid="{5D0EA7BE-1A62-477A-AAC8-3EB8CDADE0BF}">
    <sortState xmlns:xlrd2="http://schemas.microsoft.com/office/spreadsheetml/2017/richdata2" ref="A3:L96">
      <sortCondition descending="1" ref="L2:L96"/>
    </sortState>
  </autoFilter>
  <mergeCells count="1">
    <mergeCell ref="A1:C1"/>
  </mergeCells>
  <phoneticPr fontId="1" type="noConversion"/>
  <conditionalFormatting sqref="A3:XFD1048576">
    <cfRule type="expression" dxfId="3" priority="2">
      <formula>MOD(ROW(),2)=0</formula>
    </cfRule>
  </conditionalFormatting>
  <conditionalFormatting sqref="C3:C1048576">
    <cfRule type="containsText" dxfId="2" priority="1" operator="containsText" text="9120">
      <formula>NOT(ISERROR(SEARCH("9120",C3)))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>
      <selection activeCell="C7" sqref="C7:D14"/>
    </sheetView>
  </sheetViews>
  <sheetFormatPr defaultRowHeight="24" customHeight="1" x14ac:dyDescent="0.4"/>
  <cols>
    <col min="1" max="1" width="9.06640625" style="117"/>
    <col min="2" max="10" width="12.59765625" style="117" customWidth="1"/>
    <col min="11" max="16384" width="9.06640625" style="117"/>
  </cols>
  <sheetData>
    <row r="1" spans="2:10" ht="24" customHeight="1" x14ac:dyDescent="0.4">
      <c r="B1" s="121" t="s">
        <v>142</v>
      </c>
      <c r="C1" s="156" t="s">
        <v>143</v>
      </c>
      <c r="D1" s="156"/>
      <c r="E1" s="156"/>
      <c r="F1" s="156"/>
      <c r="G1" s="156"/>
      <c r="H1" s="156"/>
      <c r="I1" s="156"/>
      <c r="J1" s="156"/>
    </row>
    <row r="2" spans="2:10" ht="24" customHeight="1" x14ac:dyDescent="0.4">
      <c r="B2" s="118"/>
      <c r="C2" s="119" t="s">
        <v>134</v>
      </c>
      <c r="D2" s="119" t="s">
        <v>119</v>
      </c>
      <c r="E2" s="119" t="s">
        <v>135</v>
      </c>
      <c r="F2" s="119" t="s">
        <v>136</v>
      </c>
      <c r="G2" s="119" t="s">
        <v>137</v>
      </c>
      <c r="H2" s="119" t="s">
        <v>138</v>
      </c>
      <c r="I2" s="119" t="s">
        <v>139</v>
      </c>
      <c r="J2" s="119" t="s">
        <v>140</v>
      </c>
    </row>
    <row r="3" spans="2:10" ht="24" customHeight="1" x14ac:dyDescent="0.4">
      <c r="B3" s="122" t="s">
        <v>133</v>
      </c>
      <c r="C3" s="74">
        <v>-21.6</v>
      </c>
      <c r="D3" s="97">
        <v>-35.200000000000003</v>
      </c>
      <c r="E3" s="98">
        <v>-28.1</v>
      </c>
      <c r="F3" s="97">
        <v>-24.6</v>
      </c>
      <c r="G3" s="74">
        <v>-19.600000000000001</v>
      </c>
      <c r="H3" s="98">
        <v>-0.4</v>
      </c>
      <c r="I3" s="97">
        <v>-44.5</v>
      </c>
      <c r="J3" s="74">
        <v>1.3</v>
      </c>
    </row>
    <row r="4" spans="2:10" ht="24" customHeight="1" x14ac:dyDescent="0.4">
      <c r="B4" s="123" t="s">
        <v>132</v>
      </c>
      <c r="C4" s="74">
        <v>-17</v>
      </c>
      <c r="D4" s="97">
        <v>-38.1</v>
      </c>
      <c r="E4" s="98">
        <v>-30.7</v>
      </c>
      <c r="F4" s="97">
        <v>-29.4</v>
      </c>
      <c r="G4" s="74">
        <v>-15.1</v>
      </c>
      <c r="H4" s="98">
        <v>4.0999999999999996</v>
      </c>
      <c r="I4" s="97">
        <v>-51.1</v>
      </c>
      <c r="J4" s="74">
        <v>2</v>
      </c>
    </row>
    <row r="6" spans="2:10" ht="24" customHeight="1" x14ac:dyDescent="0.4">
      <c r="B6" s="120" t="s">
        <v>141</v>
      </c>
      <c r="C6" s="122" t="s">
        <v>133</v>
      </c>
      <c r="D6" s="123" t="s">
        <v>132</v>
      </c>
    </row>
    <row r="7" spans="2:10" ht="24" customHeight="1" x14ac:dyDescent="0.4">
      <c r="C7" s="118" cm="1">
        <f t="array" ref="C7:C14">TRANSPOSE(C3:J3)</f>
        <v>-21.6</v>
      </c>
      <c r="D7" s="118" cm="1">
        <f t="array" ref="D7:D14">TRANSPOSE(C4:J4)</f>
        <v>-17</v>
      </c>
    </row>
    <row r="8" spans="2:10" ht="24" customHeight="1" x14ac:dyDescent="0.4">
      <c r="C8" s="118">
        <v>-35.200000000000003</v>
      </c>
      <c r="D8" s="118">
        <v>-38.1</v>
      </c>
    </row>
    <row r="9" spans="2:10" ht="24" customHeight="1" x14ac:dyDescent="0.4">
      <c r="C9" s="118">
        <v>-28.1</v>
      </c>
      <c r="D9" s="118">
        <v>-30.7</v>
      </c>
    </row>
    <row r="10" spans="2:10" ht="24" customHeight="1" x14ac:dyDescent="0.4">
      <c r="C10" s="118">
        <v>-24.6</v>
      </c>
      <c r="D10" s="118">
        <v>-29.4</v>
      </c>
    </row>
    <row r="11" spans="2:10" ht="24" customHeight="1" x14ac:dyDescent="0.4">
      <c r="C11" s="118">
        <v>-19.600000000000001</v>
      </c>
      <c r="D11" s="118">
        <v>-15.1</v>
      </c>
    </row>
    <row r="12" spans="2:10" ht="24" customHeight="1" x14ac:dyDescent="0.4">
      <c r="C12" s="118">
        <v>-0.4</v>
      </c>
      <c r="D12" s="118">
        <v>4.0999999999999996</v>
      </c>
    </row>
    <row r="13" spans="2:10" ht="24" customHeight="1" x14ac:dyDescent="0.4">
      <c r="C13" s="118">
        <v>-44.5</v>
      </c>
      <c r="D13" s="118">
        <v>-51.1</v>
      </c>
    </row>
    <row r="14" spans="2:10" ht="24" customHeight="1" x14ac:dyDescent="0.4">
      <c r="C14" s="118">
        <v>1.3</v>
      </c>
      <c r="D14" s="118">
        <v>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57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57"/>
      <c r="B2" s="158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57"/>
      <c r="B3" s="15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115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115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2026-09-09T12:32:40Z</dcterms:modified>
</cp:coreProperties>
</file>