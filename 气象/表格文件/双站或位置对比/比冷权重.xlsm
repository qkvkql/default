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FE389012-135C-48C7-A302-A5DB2955EC72}" xr6:coauthVersionLast="47" xr6:coauthVersionMax="47" xr10:uidLastSave="{00000000-0000-0000-0000-000000000000}"/>
  <bookViews>
    <workbookView xWindow="-98" yWindow="-98" windowWidth="21795" windowHeight="12975" activeTab="1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3" l="1"/>
  <c r="A61" i="3" s="1"/>
  <c r="L68" i="3"/>
  <c r="A68" i="3" s="1"/>
  <c r="L101" i="3"/>
  <c r="A101" i="3" s="1"/>
  <c r="L95" i="3"/>
  <c r="A95" i="3"/>
  <c r="D7" i="4" a="1"/>
  <c r="D7" i="4" s="1"/>
  <c r="C7" i="4" a="1"/>
  <c r="C7" i="4" s="1"/>
  <c r="D1" i="3" a="1"/>
  <c r="D1" i="3" s="1"/>
  <c r="L10" i="3" s="1"/>
  <c r="A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3" i="3" l="1"/>
  <c r="A3" i="3" s="1"/>
  <c r="L4" i="3"/>
  <c r="A4" i="3" s="1"/>
  <c r="L51" i="3"/>
  <c r="A51" i="3" s="1"/>
  <c r="L108" i="3"/>
  <c r="A108" i="3" s="1"/>
  <c r="L80" i="3"/>
  <c r="A80" i="3" s="1"/>
  <c r="L106" i="3"/>
  <c r="A106" i="3" s="1"/>
  <c r="L105" i="3"/>
  <c r="A105" i="3" s="1"/>
  <c r="L49" i="3"/>
  <c r="A49" i="3" s="1"/>
  <c r="L85" i="3"/>
  <c r="A85" i="3" s="1"/>
  <c r="L45" i="3"/>
  <c r="A45" i="3" s="1"/>
  <c r="L89" i="3"/>
  <c r="A89" i="3" s="1"/>
  <c r="L84" i="3"/>
  <c r="A84" i="3" s="1"/>
  <c r="L76" i="3"/>
  <c r="A76" i="3" s="1"/>
  <c r="L74" i="3"/>
  <c r="A74" i="3" s="1"/>
  <c r="L109" i="3"/>
  <c r="A109" i="3" s="1"/>
  <c r="L103" i="3"/>
  <c r="A103" i="3" s="1"/>
  <c r="L69" i="3"/>
  <c r="A69" i="3" s="1"/>
  <c r="L93" i="3"/>
  <c r="A93" i="3" s="1"/>
  <c r="L70" i="3"/>
  <c r="A70" i="3" s="1"/>
  <c r="L87" i="3"/>
  <c r="A87" i="3" s="1"/>
  <c r="L40" i="3"/>
  <c r="A40" i="3" s="1"/>
  <c r="L35" i="3"/>
  <c r="A35" i="3" s="1"/>
  <c r="L86" i="3"/>
  <c r="A86" i="3" s="1"/>
  <c r="L41" i="3"/>
  <c r="A41" i="3" s="1"/>
  <c r="L98" i="3"/>
  <c r="A98" i="3" s="1"/>
  <c r="L99" i="3"/>
  <c r="A99" i="3" s="1"/>
  <c r="L100" i="3"/>
  <c r="A100" i="3" s="1"/>
  <c r="L102" i="3"/>
  <c r="A102" i="3" s="1"/>
  <c r="L104" i="3"/>
  <c r="A104" i="3" s="1"/>
  <c r="L53" i="3"/>
  <c r="A53" i="3" s="1"/>
  <c r="L58" i="3"/>
  <c r="A58" i="3" s="1"/>
  <c r="L50" i="3"/>
  <c r="A50" i="3" s="1"/>
  <c r="L31" i="3"/>
  <c r="A31" i="3" s="1"/>
  <c r="L39" i="3"/>
  <c r="A39" i="3" s="1"/>
  <c r="L23" i="3"/>
  <c r="A23" i="3" s="1"/>
  <c r="L27" i="3"/>
  <c r="A27" i="3" s="1"/>
  <c r="L19" i="3"/>
  <c r="A19" i="3" s="1"/>
  <c r="L24" i="3"/>
  <c r="A24" i="3" s="1"/>
  <c r="L18" i="3"/>
  <c r="A18" i="3" s="1"/>
  <c r="L25" i="3"/>
  <c r="A25" i="3" s="1"/>
  <c r="L13" i="3"/>
  <c r="A13" i="3" s="1"/>
  <c r="L20" i="3"/>
  <c r="A20" i="3" s="1"/>
  <c r="L17" i="3"/>
  <c r="A17" i="3" s="1"/>
  <c r="L14" i="3"/>
  <c r="A14" i="3" s="1"/>
  <c r="L12" i="3"/>
  <c r="A12" i="3" s="1"/>
  <c r="L16" i="3"/>
  <c r="A16" i="3" s="1"/>
  <c r="L9" i="3"/>
  <c r="A9" i="3" s="1"/>
  <c r="L28" i="3"/>
  <c r="A28" i="3" s="1"/>
  <c r="L22" i="3"/>
  <c r="A22" i="3" s="1"/>
  <c r="L15" i="3"/>
  <c r="A15" i="3" s="1"/>
  <c r="L37" i="3"/>
  <c r="A37" i="3" s="1"/>
  <c r="L30" i="3"/>
  <c r="A30" i="3" s="1"/>
  <c r="L82" i="3"/>
  <c r="A82" i="3" s="1"/>
  <c r="L77" i="3"/>
  <c r="A77" i="3" s="1"/>
  <c r="L78" i="3"/>
  <c r="A78" i="3" s="1"/>
  <c r="L33" i="3"/>
  <c r="A33" i="3" s="1"/>
  <c r="L59" i="3"/>
  <c r="A59" i="3" s="1"/>
  <c r="L21" i="3"/>
  <c r="A21" i="3" s="1"/>
  <c r="L56" i="3"/>
  <c r="A56" i="3" s="1"/>
  <c r="L55" i="3"/>
  <c r="A55" i="3" s="1"/>
  <c r="L47" i="3"/>
  <c r="A47" i="3" s="1"/>
  <c r="L42" i="3"/>
  <c r="A42" i="3" s="1"/>
  <c r="L46" i="3"/>
  <c r="A46" i="3" s="1"/>
  <c r="L43" i="3"/>
  <c r="A43" i="3" s="1"/>
  <c r="L44" i="3"/>
  <c r="A44" i="3" s="1"/>
  <c r="L94" i="3"/>
  <c r="A94" i="3" s="1"/>
  <c r="L48" i="3"/>
  <c r="A48" i="3" s="1"/>
  <c r="L29" i="3"/>
  <c r="A29" i="3" s="1"/>
  <c r="L8" i="3"/>
  <c r="A8" i="3" s="1"/>
  <c r="L11" i="3"/>
  <c r="A11" i="3" s="1"/>
  <c r="L7" i="3"/>
  <c r="A7" i="3" s="1"/>
  <c r="L1" i="3"/>
  <c r="L96" i="3"/>
  <c r="A96" i="3" s="1"/>
  <c r="L75" i="3"/>
  <c r="A75" i="3" s="1"/>
  <c r="L36" i="3"/>
  <c r="A36" i="3" s="1"/>
  <c r="L79" i="3"/>
  <c r="A79" i="3" s="1"/>
  <c r="L38" i="3"/>
  <c r="A38" i="3" s="1"/>
  <c r="L71" i="3"/>
  <c r="A71" i="3" s="1"/>
  <c r="L34" i="3"/>
  <c r="A34" i="3" s="1"/>
  <c r="L5" i="3"/>
  <c r="A5" i="3" s="1"/>
  <c r="L72" i="3"/>
  <c r="A72" i="3" s="1"/>
  <c r="L32" i="3"/>
  <c r="A32" i="3" s="1"/>
  <c r="L62" i="3"/>
  <c r="A62" i="3" s="1"/>
  <c r="L63" i="3"/>
  <c r="A63" i="3" s="1"/>
  <c r="L54" i="3"/>
  <c r="A54" i="3" s="1"/>
  <c r="L92" i="3"/>
  <c r="A92" i="3" s="1"/>
  <c r="L81" i="3"/>
  <c r="A81" i="3" s="1"/>
  <c r="L52" i="3"/>
  <c r="A52" i="3" s="1"/>
  <c r="L83" i="3"/>
  <c r="A83" i="3" s="1"/>
  <c r="L6" i="3"/>
  <c r="A6" i="3" s="1"/>
  <c r="L73" i="3"/>
  <c r="A73" i="3" s="1"/>
  <c r="L26" i="3"/>
  <c r="A26" i="3" s="1"/>
  <c r="L65" i="3"/>
  <c r="A65" i="3" s="1"/>
  <c r="L97" i="3"/>
  <c r="A97" i="3" s="1"/>
  <c r="L88" i="3"/>
  <c r="A88" i="3" s="1"/>
  <c r="L57" i="3"/>
  <c r="A57" i="3" s="1"/>
  <c r="L110" i="3"/>
  <c r="A110" i="3" s="1"/>
  <c r="L64" i="3"/>
  <c r="A64" i="3" s="1"/>
  <c r="L107" i="3"/>
  <c r="A107" i="3" s="1"/>
  <c r="L67" i="3"/>
  <c r="A67" i="3" s="1"/>
  <c r="L91" i="3"/>
  <c r="A91" i="3" s="1"/>
  <c r="L66" i="3"/>
  <c r="A66" i="3" s="1"/>
  <c r="L90" i="3"/>
  <c r="A90" i="3" s="1"/>
  <c r="L60" i="3"/>
  <c r="A60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<sst xmlns="http://schemas.openxmlformats.org/spreadsheetml/2006/main" count="251" uniqueCount="200">
  <si>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</si>
  <si>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</si>
  <si>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</si>
  <si>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</si>
  <si>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</si>
  <si>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</si>
  <si>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</si>
  <si>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</si>
  <si>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</si>
  <si>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</si>
  <si>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</si>
  <si>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</si>
  <si>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</si>
  <si>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</si>
  <si>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</si>
  <si>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</si>
  <si>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</si>
  <si>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</si>
  <si>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</si>
  <si>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</si>
  <si>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</si>
  <si>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</si>
  <si>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</si>
  <si>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</si>
  <si>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</si>
  <si>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</si>
  <si>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</si>
  <si>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</si>
  <si>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</si>
  <si>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</si>
  <si>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</si>
  <si>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</si>
  <si>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</si>
  <si>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</si>
  <si>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</si>
  <si>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</si>
  <si>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</si>
  <si>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</si>
  <si>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</si>
  <si>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</si>
  <si>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</si>
  <si>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</si>
  <si>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</si>
  <si>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</si>
  <si>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</si>
  <si>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</si>
  <si>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</si>
  <si>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</si>
  <si>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</si>
  <si>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</si>
  <si>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</si>
  <si>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</si>
  <si>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</si>
  <si>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</si>
  <si>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</si>
  <si>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</si>
  <si>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</si>
  <si>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</si>
  <si>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</si>
  <si>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</si>
  <si>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</si>
  <si>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</si>
  <si>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</si>
  <si>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</si>
  <si>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</si>
  <si>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</si>
  <si>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</si>
  <si>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</si>
  <si>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</si>
  <si>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</si>
  <si>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</si>
  <si>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</si>
  <si>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</si>
  <si>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</si>
  <si>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</si>
  <si>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</si>
  <si>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</si>
  <si>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</si>
  <si>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</si>
  <si>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</si>
  <si>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</si>
  <si>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</si>
  <si>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</si>
  <si>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</si>
  <si>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</si>
  <si>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</si>
  <si>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</si>
  <si>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</si>
  <si>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</si>
  <si>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</si>
  <si>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</si>
  <si>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</si>
  <si>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</si>
  <si>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</si>
  <si>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</si>
  <si>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</si>
  <si>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</si>
  <si>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</si>
  <si>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</si>
  <si>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</si>
  <si>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</si>
  <si>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</si>
  <si>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</si>
  <si>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</si>
  <si>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</si>
  <si>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</si>
  <si>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</si>
  <si>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</si>
  <si>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</si>
  <si>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</si>
  <si>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</si>
  <si>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</si>
  <si>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</si>
  <si>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</si>
  <si>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</si>
  <si>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</si>
  <si>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</si>
  <si>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</si>
  <si>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</si>
  <si>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</si>
  <si>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</si>
  <si>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</si>
  <si>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</si>
  <si>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</si>
  <si>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</si>
  <si>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</si>
  <si>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</si>
  <si>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</si>
  <si>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</si>
  <si>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</si>
  <si>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</si>
  <si>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</si>
  <si>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</si>
  <si>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</si>
  <si>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</si>
  <si>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</si>
  <si>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</si>
  <si>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</si>
  <si>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</si>
  <si>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</si>
  <si>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</si>
  <si>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</si>
  <si>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</si>
  <si>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</si>
  <si>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</si>
  <si>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</si>
  <si>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</si>
  <si>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</si>
  <si>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</si>
  <si>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</si>
  <si>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</si>
  <si>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</si>
  <si>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</si>
  <si>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</si>
  <si>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</si>
  <si>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</si>
  <si>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</si>
  <si>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</si>
  <si>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</si>
  <si>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</si>
  <si>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</si>
  <si>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</si>
  <si>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</si>
  <si>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</si>
  <si>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</si>
  <si>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</si>
  <si>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</si>
  <si>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</si>
  <si>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</si>
  <si>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</si>
  <si>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</si>
  <si>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</si>
  <si>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</si>
  <si>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</si>
  <si>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</si>
  <si>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</si>
  <si>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</si>
  <si>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</si>
  <si>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</si>
  <si>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</si>
  <si>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</si>
  <si>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1991~2020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</si>
  <si>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</si>
  <si>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</si>
  <si>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</si>
  <si>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</si>
  <si>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</si>
  <si>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</si>
  <si>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黑河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</si>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</sst>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52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49" fillId="0" borderId="49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20.953999999999997</v>
      </c>
      <c r="H1" s="27">
        <f>SUM(H5:H12)</f>
        <v>1</v>
      </c>
      <c r="I1" s="37" t="s">
        <v>22</v>
      </c>
      <c r="J1" s="36">
        <f>ABS(F1-G1)</f>
        <v>1.5350000000000037</v>
      </c>
    </row>
    <row r="2" spans="1:10" ht="24" customHeight="1" x14ac:dyDescent="0.4">
      <c r="A2" s="146" t="s">
        <v>5</v>
      </c>
      <c r="B2" s="147"/>
      <c r="C2" s="148"/>
      <c r="D2" s="25"/>
      <c r="E2" s="156" t="s">
        <v>181</v>
      </c>
      <c r="F2" s="152" t="s">
        <v>16</v>
      </c>
      <c r="G2" s="152"/>
      <c r="H2" s="153"/>
    </row>
    <row r="3" spans="1:10" ht="24" customHeight="1" thickBot="1" x14ac:dyDescent="0.45">
      <c r="A3" s="149"/>
      <c r="B3" s="150"/>
      <c r="C3" s="151"/>
      <c r="D3" s="25"/>
      <c r="E3" s="157"/>
      <c r="F3" s="154"/>
      <c r="G3" s="154"/>
      <c r="H3" s="155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178</v>
      </c>
      <c r="G4" s="46" t="s">
        <v>27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-16.3</v>
      </c>
      <c r="G5" s="32">
        <v>-17.3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116</v>
      </c>
      <c r="F6" s="33">
        <v>-35.6</v>
      </c>
      <c r="G6" s="33">
        <v>-29.4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-27</v>
      </c>
      <c r="G7" s="32">
        <v>-27.5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131</v>
      </c>
      <c r="F8" s="33">
        <v>-25.2</v>
      </c>
      <c r="G8" s="33">
        <v>-19.7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-14.4</v>
      </c>
      <c r="G9" s="32">
        <v>-14.6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7.8</v>
      </c>
      <c r="G10" s="33">
        <v>4.2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-47.8</v>
      </c>
      <c r="G11" s="32">
        <v>-41.4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5.2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1.5°C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M1049"/>
  <sheetViews>
    <sheetView tabSelected="1"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31" customWidth="1"/>
    <col min="2" max="2" width="16.59765625" style="102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0" customWidth="1"/>
    <col min="13" max="13" width="16.59765625" style="101" customWidth="1"/>
    <col min="14" max="16384" width="9.06640625" style="67"/>
  </cols>
  <sheetData>
    <row r="1" spans="1:13" s="70" customFormat="1" ht="36" customHeight="1" x14ac:dyDescent="0.4">
      <c r="A1" s="158" t="s">
        <v>110</v>
      </c>
      <c r="B1" s="159"/>
      <c r="C1" s="160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19">
        <v>0.02</v>
      </c>
      <c r="L1" s="114">
        <f>SUM(D1:K1)</f>
        <v>1</v>
      </c>
      <c r="M1" s="112"/>
    </row>
    <row r="2" spans="1:13" s="70" customFormat="1" ht="48" customHeight="1" thickBot="1" x14ac:dyDescent="0.45">
      <c r="A2" s="126" t="s">
        <v>173</v>
      </c>
      <c r="B2" s="132" t="s">
        <v>82</v>
      </c>
      <c r="C2" s="76" t="s">
        <v>83</v>
      </c>
      <c r="D2" s="86" t="s">
        <v>120</v>
      </c>
      <c r="E2" s="87" t="s">
        <v>119</v>
      </c>
      <c r="F2" s="88" t="s">
        <v>122</v>
      </c>
      <c r="G2" s="87" t="s">
        <v>121</v>
      </c>
      <c r="H2" s="86" t="s">
        <v>126</v>
      </c>
      <c r="I2" s="88" t="s">
        <v>123</v>
      </c>
      <c r="J2" s="99" t="s">
        <v>124</v>
      </c>
      <c r="K2" s="120" t="s">
        <v>125</v>
      </c>
      <c r="L2" s="116" t="s">
        <v>114</v>
      </c>
      <c r="M2" s="141" t="s">
        <v>191</v>
      </c>
    </row>
    <row r="3" spans="1:13" ht="24" customHeight="1" thickTop="1" x14ac:dyDescent="0.4">
      <c r="A3" s="127">
        <f>L3</f>
        <v>72.263999999999996</v>
      </c>
      <c r="B3" s="166" t="s">
        <v>193</v>
      </c>
      <c r="C3" s="103">
        <v>6190</v>
      </c>
      <c r="D3" s="104">
        <v>-68</v>
      </c>
      <c r="E3" s="105">
        <v>-83</v>
      </c>
      <c r="F3" s="106">
        <v>-75.3</v>
      </c>
      <c r="G3" s="105">
        <v>-79.400000000000006</v>
      </c>
      <c r="H3" s="104">
        <v>-67</v>
      </c>
      <c r="I3" s="106">
        <v>-34.1</v>
      </c>
      <c r="J3" s="107">
        <v>-89.2</v>
      </c>
      <c r="K3" s="121">
        <v>-55.2</v>
      </c>
      <c r="L3" s="117">
        <f xml:space="preserve"> D$1 * (-D3) + E$1 * (-E3) + F$1 * (-F3) + G$1 * (-G3) + H$1 * (-H3) + I$1 * (-I3) + J$1 * (-J3) + K$1 * (-K3)</f>
        <v>72.263999999999996</v>
      </c>
      <c r="M3" s="115" t="s">
        <v>194</v>
      </c>
    </row>
    <row r="4" spans="1:13" ht="24" customHeight="1" x14ac:dyDescent="0.4">
      <c r="A4" s="128">
        <f>L4</f>
        <v>71.168999999999997</v>
      </c>
      <c r="B4" s="133" t="s">
        <v>193</v>
      </c>
      <c r="C4" s="77">
        <v>9120</v>
      </c>
      <c r="D4" s="68">
        <v>-66.5</v>
      </c>
      <c r="E4" s="72">
        <v>-81.5</v>
      </c>
      <c r="F4" s="74">
        <v>-75.3</v>
      </c>
      <c r="G4" s="72">
        <v>-77.599999999999994</v>
      </c>
      <c r="H4" s="68">
        <v>-66</v>
      </c>
      <c r="I4" s="74">
        <v>-34.1</v>
      </c>
      <c r="J4" s="72">
        <v>-89.2</v>
      </c>
      <c r="K4" s="122">
        <v>-54.7</v>
      </c>
      <c r="L4" s="118">
        <f xml:space="preserve"> D$1 * (-D4) + E$1 * (-E4) + F$1 * (-F4) + G$1 * (-G4) + H$1 * (-H4) + I$1 * (-I4) + J$1 * (-J4) + K$1 * (-K4)</f>
        <v>71.168999999999997</v>
      </c>
      <c r="M4" s="113"/>
    </row>
    <row r="5" spans="1:13" ht="24" customHeight="1" x14ac:dyDescent="0.4">
      <c r="A5" s="128">
        <f>L5</f>
        <v>50.216000000000001</v>
      </c>
      <c r="B5" s="133" t="s">
        <v>62</v>
      </c>
      <c r="C5" s="77">
        <v>6190</v>
      </c>
      <c r="D5" s="68">
        <v>-47</v>
      </c>
      <c r="E5" s="72">
        <v>-59.9</v>
      </c>
      <c r="F5" s="74">
        <v>-54.1</v>
      </c>
      <c r="G5" s="72">
        <v>-55.2</v>
      </c>
      <c r="H5" s="68">
        <v>-45.1</v>
      </c>
      <c r="I5" s="74">
        <v>-16.600000000000001</v>
      </c>
      <c r="J5" s="72">
        <v>-67.7</v>
      </c>
      <c r="K5" s="122">
        <v>-16.399999999999999</v>
      </c>
      <c r="L5" s="118">
        <f xml:space="preserve"> D$1 * (-D5) + E$1 * (-E5) + F$1 * (-F5) + G$1 * (-G5) + H$1 * (-H5) + I$1 * (-I5) + J$1 * (-J5) + K$1 * (-K5)</f>
        <v>50.216000000000001</v>
      </c>
      <c r="M5" s="113"/>
    </row>
    <row r="6" spans="1:13" ht="24" customHeight="1" x14ac:dyDescent="0.4">
      <c r="A6" s="128">
        <f>L6</f>
        <v>49.571000000000005</v>
      </c>
      <c r="B6" s="133" t="s">
        <v>64</v>
      </c>
      <c r="C6" s="77">
        <v>6190</v>
      </c>
      <c r="D6" s="68">
        <v>-47</v>
      </c>
      <c r="E6" s="72">
        <v>-57.9</v>
      </c>
      <c r="F6" s="74">
        <v>-55.4</v>
      </c>
      <c r="G6" s="72">
        <v>-55</v>
      </c>
      <c r="H6" s="68">
        <v>-44.5</v>
      </c>
      <c r="I6" s="74">
        <v>-9.5</v>
      </c>
      <c r="J6" s="72">
        <v>-67.8</v>
      </c>
      <c r="K6" s="122">
        <v>-15.3</v>
      </c>
      <c r="L6" s="118">
        <f xml:space="preserve"> D$1 * (-D6) + E$1 * (-E6) + F$1 * (-F6) + G$1 * (-G6) + H$1 * (-H6) + I$1 * (-I6) + J$1 * (-J6) + K$1 * (-K6)</f>
        <v>49.571000000000005</v>
      </c>
      <c r="M6" s="113"/>
    </row>
    <row r="7" spans="1:13" ht="24" customHeight="1" x14ac:dyDescent="0.4">
      <c r="A7" s="128">
        <f>L7</f>
        <v>49.416999999999994</v>
      </c>
      <c r="B7" s="133" t="s">
        <v>62</v>
      </c>
      <c r="C7" s="77">
        <v>9120</v>
      </c>
      <c r="D7" s="68">
        <v>-45.7</v>
      </c>
      <c r="E7" s="72">
        <v>-59.1</v>
      </c>
      <c r="F7" s="74">
        <v>-54.1</v>
      </c>
      <c r="G7" s="72">
        <v>-54.3</v>
      </c>
      <c r="H7" s="68">
        <v>-44.3</v>
      </c>
      <c r="I7" s="74">
        <v>-16.600000000000001</v>
      </c>
      <c r="J7" s="72">
        <v>-67.7</v>
      </c>
      <c r="K7" s="122">
        <v>-14.9</v>
      </c>
      <c r="L7" s="118">
        <f xml:space="preserve"> D$1 * (-D7) + E$1 * (-E7) + F$1 * (-F7) + G$1 * (-G7) + H$1 * (-H7) + I$1 * (-I7) + J$1 * (-J7) + K$1 * (-K7)</f>
        <v>49.416999999999994</v>
      </c>
      <c r="M7" s="113"/>
    </row>
    <row r="8" spans="1:13" ht="24" customHeight="1" x14ac:dyDescent="0.4">
      <c r="A8" s="128">
        <f>L8</f>
        <v>48.379999999999995</v>
      </c>
      <c r="B8" s="134" t="s">
        <v>91</v>
      </c>
      <c r="C8" s="77" t="s">
        <v>158</v>
      </c>
      <c r="D8" s="68">
        <v>-42.8</v>
      </c>
      <c r="E8" s="72">
        <v>-62.9</v>
      </c>
      <c r="F8" s="74">
        <v>-48.3</v>
      </c>
      <c r="G8" s="72">
        <v>-55.8</v>
      </c>
      <c r="H8" s="68">
        <v>-41.7</v>
      </c>
      <c r="I8" s="74">
        <v>-14.2</v>
      </c>
      <c r="J8" s="72">
        <v>-67.5</v>
      </c>
      <c r="K8" s="122">
        <v>-28.7</v>
      </c>
      <c r="L8" s="118">
        <f xml:space="preserve"> D$1 * (-D8) + E$1 * (-E8) + F$1 * (-F8) + G$1 * (-G8) + H$1 * (-H8) + I$1 * (-I8) + J$1 * (-J8) + K$1 * (-K8)</f>
        <v>48.379999999999995</v>
      </c>
      <c r="M8" s="113"/>
    </row>
    <row r="9" spans="1:13" ht="24" customHeight="1" x14ac:dyDescent="0.4">
      <c r="A9" s="128">
        <f>L9</f>
        <v>48.288000000000004</v>
      </c>
      <c r="B9" s="133" t="s">
        <v>156</v>
      </c>
      <c r="C9" s="77">
        <v>6190</v>
      </c>
      <c r="D9" s="68">
        <v>-46.2</v>
      </c>
      <c r="E9" s="72">
        <v>-56.2</v>
      </c>
      <c r="F9" s="74">
        <v>-52.8</v>
      </c>
      <c r="G9" s="72">
        <v>-53.9</v>
      </c>
      <c r="H9" s="68">
        <v>-44</v>
      </c>
      <c r="I9" s="74">
        <v>-13</v>
      </c>
      <c r="J9" s="72">
        <v>-62.2</v>
      </c>
      <c r="K9" s="122">
        <v>-14.4</v>
      </c>
      <c r="L9" s="118">
        <f xml:space="preserve"> D$1 * (-D9) + E$1 * (-E9) + F$1 * (-F9) + G$1 * (-G9) + H$1 * (-H9) + I$1 * (-I9) + J$1 * (-J9) + K$1 * (-K9)</f>
        <v>48.288000000000004</v>
      </c>
      <c r="M9" s="113"/>
    </row>
    <row r="10" spans="1:13" ht="24" customHeight="1" x14ac:dyDescent="0.4">
      <c r="A10" s="128">
        <f>L10</f>
        <v>48.267000000000003</v>
      </c>
      <c r="B10" s="133" t="s">
        <v>62</v>
      </c>
      <c r="C10" s="77" t="s">
        <v>158</v>
      </c>
      <c r="D10" s="68">
        <v>-45</v>
      </c>
      <c r="E10" s="72">
        <v>-57.2</v>
      </c>
      <c r="F10" s="74">
        <v>-51.4</v>
      </c>
      <c r="G10" s="72">
        <v>-53.1</v>
      </c>
      <c r="H10" s="68">
        <v>-43.4</v>
      </c>
      <c r="I10" s="74">
        <v>-25.1</v>
      </c>
      <c r="J10" s="72">
        <v>-61</v>
      </c>
      <c r="K10" s="122">
        <v>-14</v>
      </c>
      <c r="L10" s="118">
        <f xml:space="preserve"> D$1 * (-D10) + E$1 * (-E10) + F$1 * (-F10) + G$1 * (-G10) + H$1 * (-H10) + I$1 * (-I10) + J$1 * (-J10) + K$1 * (-K10)</f>
        <v>48.267000000000003</v>
      </c>
      <c r="M10" s="113"/>
    </row>
    <row r="11" spans="1:13" ht="24" customHeight="1" x14ac:dyDescent="0.4">
      <c r="A11" s="128">
        <f>L11</f>
        <v>48.23</v>
      </c>
      <c r="B11" s="133" t="s">
        <v>64</v>
      </c>
      <c r="C11" s="77">
        <v>9120</v>
      </c>
      <c r="D11" s="68">
        <v>-44.7</v>
      </c>
      <c r="E11" s="72">
        <v>-56.5</v>
      </c>
      <c r="F11" s="74">
        <v>-55.4</v>
      </c>
      <c r="G11" s="72">
        <v>-53.5</v>
      </c>
      <c r="H11" s="68">
        <v>-43.5</v>
      </c>
      <c r="I11" s="74">
        <v>-9.5</v>
      </c>
      <c r="J11" s="72">
        <v>-67.8</v>
      </c>
      <c r="K11" s="122">
        <v>-14</v>
      </c>
      <c r="L11" s="118">
        <f xml:space="preserve"> D$1 * (-D11) + E$1 * (-E11) + F$1 * (-F11) + G$1 * (-G11) + H$1 * (-H11) + I$1 * (-I11) + J$1 * (-J11) + K$1 * (-K11)</f>
        <v>48.23</v>
      </c>
      <c r="M11" s="113"/>
    </row>
    <row r="12" spans="1:13" ht="24" customHeight="1" x14ac:dyDescent="0.4">
      <c r="A12" s="128">
        <f>L12</f>
        <v>47.696999999999989</v>
      </c>
      <c r="B12" s="133" t="s">
        <v>157</v>
      </c>
      <c r="C12" s="77">
        <v>6190</v>
      </c>
      <c r="D12" s="68">
        <v>-44.4</v>
      </c>
      <c r="E12" s="72">
        <v>-57.8</v>
      </c>
      <c r="F12" s="74">
        <v>-52.2</v>
      </c>
      <c r="G12" s="72">
        <v>-53.4</v>
      </c>
      <c r="H12" s="68">
        <v>-42.3</v>
      </c>
      <c r="I12" s="74">
        <v>-13</v>
      </c>
      <c r="J12" s="72">
        <v>-62.1</v>
      </c>
      <c r="K12" s="122">
        <v>-14.4</v>
      </c>
      <c r="L12" s="118">
        <f xml:space="preserve"> D$1 * (-D12) + E$1 * (-E12) + F$1 * (-F12) + G$1 * (-G12) + H$1 * (-H12) + I$1 * (-I12) + J$1 * (-J12) + K$1 * (-K12)</f>
        <v>47.696999999999989</v>
      </c>
      <c r="M12" s="113"/>
    </row>
    <row r="13" spans="1:13" ht="24" customHeight="1" x14ac:dyDescent="0.4">
      <c r="A13" s="128">
        <f>L13</f>
        <v>46.588000000000001</v>
      </c>
      <c r="B13" s="133" t="s">
        <v>161</v>
      </c>
      <c r="C13" s="77">
        <v>6190</v>
      </c>
      <c r="D13" s="68">
        <v>-43</v>
      </c>
      <c r="E13" s="72">
        <v>-58</v>
      </c>
      <c r="F13" s="74">
        <v>-51</v>
      </c>
      <c r="G13" s="72">
        <v>-54.7</v>
      </c>
      <c r="H13" s="68">
        <v>-40</v>
      </c>
      <c r="I13" s="74">
        <v>-2.6</v>
      </c>
      <c r="J13" s="72">
        <v>-64.2</v>
      </c>
      <c r="K13" s="122">
        <v>-13.9</v>
      </c>
      <c r="L13" s="118">
        <f xml:space="preserve"> D$1 * (-D13) + E$1 * (-E13) + F$1 * (-F13) + G$1 * (-G13) + H$1 * (-H13) + I$1 * (-I13) + J$1 * (-J13) + K$1 * (-K13)</f>
        <v>46.588000000000001</v>
      </c>
      <c r="M13" s="113"/>
    </row>
    <row r="14" spans="1:13" ht="24" customHeight="1" x14ac:dyDescent="0.4">
      <c r="A14" s="128">
        <f>L14</f>
        <v>46.44</v>
      </c>
      <c r="B14" s="133" t="s">
        <v>160</v>
      </c>
      <c r="C14" s="77">
        <v>6190</v>
      </c>
      <c r="D14" s="68">
        <v>-44.2</v>
      </c>
      <c r="E14" s="72">
        <v>-55.5</v>
      </c>
      <c r="F14" s="74">
        <v>-51.1</v>
      </c>
      <c r="G14" s="72">
        <v>-51.9</v>
      </c>
      <c r="H14" s="68">
        <v>-41.7</v>
      </c>
      <c r="I14" s="74">
        <v>-9.3000000000000007</v>
      </c>
      <c r="J14" s="72">
        <v>-58.8</v>
      </c>
      <c r="K14" s="122">
        <v>-13.7</v>
      </c>
      <c r="L14" s="118">
        <f xml:space="preserve"> D$1 * (-D14) + E$1 * (-E14) + F$1 * (-F14) + G$1 * (-G14) + H$1 * (-H14) + I$1 * (-I14) + J$1 * (-J14) + K$1 * (-K14)</f>
        <v>46.44</v>
      </c>
      <c r="M14" s="113"/>
    </row>
    <row r="15" spans="1:13" ht="24" customHeight="1" x14ac:dyDescent="0.4">
      <c r="A15" s="128">
        <f>L15</f>
        <v>45.762</v>
      </c>
      <c r="B15" s="133" t="s">
        <v>154</v>
      </c>
      <c r="C15" s="77">
        <v>6190</v>
      </c>
      <c r="D15" s="68">
        <v>-41.9</v>
      </c>
      <c r="E15" s="72">
        <v>-57.1</v>
      </c>
      <c r="F15" s="74">
        <v>-50.9</v>
      </c>
      <c r="G15" s="72">
        <v>-53.2</v>
      </c>
      <c r="H15" s="68">
        <v>-39.200000000000003</v>
      </c>
      <c r="I15" s="74">
        <v>-2.9</v>
      </c>
      <c r="J15" s="72">
        <v>-63.5</v>
      </c>
      <c r="K15" s="122">
        <v>-13.3</v>
      </c>
      <c r="L15" s="118">
        <f xml:space="preserve"> D$1 * (-D15) + E$1 * (-E15) + F$1 * (-F15) + G$1 * (-G15) + H$1 * (-H15) + I$1 * (-I15) + J$1 * (-J15) + K$1 * (-K15)</f>
        <v>45.762</v>
      </c>
      <c r="M15" s="113"/>
    </row>
    <row r="16" spans="1:13" ht="24" customHeight="1" x14ac:dyDescent="0.4">
      <c r="A16" s="128">
        <f>L16</f>
        <v>45.412999999999997</v>
      </c>
      <c r="B16" s="133" t="s">
        <v>157</v>
      </c>
      <c r="C16" s="77">
        <v>9120</v>
      </c>
      <c r="D16" s="68">
        <v>-41.6</v>
      </c>
      <c r="E16" s="72">
        <v>-53.7</v>
      </c>
      <c r="F16" s="74">
        <v>-52.2</v>
      </c>
      <c r="G16" s="72">
        <v>-50.7</v>
      </c>
      <c r="H16" s="68">
        <v>-40.1</v>
      </c>
      <c r="I16" s="74">
        <v>-13</v>
      </c>
      <c r="J16" s="72">
        <v>-62.1</v>
      </c>
      <c r="K16" s="122">
        <v>-12.5</v>
      </c>
      <c r="L16" s="118">
        <f xml:space="preserve"> D$1 * (-D16) + E$1 * (-E16) + F$1 * (-F16) + G$1 * (-G16) + H$1 * (-H16) + I$1 * (-I16) + J$1 * (-J16) + K$1 * (-K16)</f>
        <v>45.412999999999997</v>
      </c>
      <c r="M16" s="113"/>
    </row>
    <row r="17" spans="1:13" ht="24" customHeight="1" x14ac:dyDescent="0.4">
      <c r="A17" s="128">
        <f>L17</f>
        <v>45.198</v>
      </c>
      <c r="B17" s="133" t="s">
        <v>160</v>
      </c>
      <c r="C17" s="77">
        <v>9120</v>
      </c>
      <c r="D17" s="68">
        <v>-42.2</v>
      </c>
      <c r="E17" s="72">
        <v>-54</v>
      </c>
      <c r="F17" s="74">
        <v>-51.1</v>
      </c>
      <c r="G17" s="72">
        <v>-50.4</v>
      </c>
      <c r="H17" s="68">
        <v>-40.799999999999997</v>
      </c>
      <c r="I17" s="74">
        <v>-9.3000000000000007</v>
      </c>
      <c r="J17" s="72">
        <v>-58.8</v>
      </c>
      <c r="K17" s="122">
        <v>-12.7</v>
      </c>
      <c r="L17" s="118">
        <f xml:space="preserve"> D$1 * (-D17) + E$1 * (-E17) + F$1 * (-F17) + G$1 * (-G17) + H$1 * (-H17) + I$1 * (-I17) + J$1 * (-J17) + K$1 * (-K17)</f>
        <v>45.198</v>
      </c>
      <c r="M17" s="113"/>
    </row>
    <row r="18" spans="1:13" ht="24" customHeight="1" x14ac:dyDescent="0.4">
      <c r="A18" s="128">
        <f>L18</f>
        <v>45.132999999999996</v>
      </c>
      <c r="B18" s="133" t="s">
        <v>162</v>
      </c>
      <c r="C18" s="77">
        <v>6190</v>
      </c>
      <c r="D18" s="68">
        <v>-42.9</v>
      </c>
      <c r="E18" s="72">
        <v>-56.2</v>
      </c>
      <c r="F18" s="74">
        <v>-47.6</v>
      </c>
      <c r="G18" s="72">
        <v>-51.5</v>
      </c>
      <c r="H18" s="68">
        <v>-40.299999999999997</v>
      </c>
      <c r="I18" s="74">
        <v>-2.1</v>
      </c>
      <c r="J18" s="72">
        <v>-60.5</v>
      </c>
      <c r="K18" s="122">
        <v>-11.7</v>
      </c>
      <c r="L18" s="118">
        <f xml:space="preserve"> D$1 * (-D18) + E$1 * (-E18) + F$1 * (-F18) + G$1 * (-G18) + H$1 * (-H18) + I$1 * (-I18) + J$1 * (-J18) + K$1 * (-K18)</f>
        <v>45.132999999999996</v>
      </c>
      <c r="M18" s="113"/>
    </row>
    <row r="19" spans="1:13" ht="24" customHeight="1" x14ac:dyDescent="0.4">
      <c r="A19" s="128">
        <f>L19</f>
        <v>44.810000000000009</v>
      </c>
      <c r="B19" s="133" t="s">
        <v>163</v>
      </c>
      <c r="C19" s="77">
        <v>6190</v>
      </c>
      <c r="D19" s="68">
        <v>-41.7</v>
      </c>
      <c r="E19" s="72">
        <v>-55.3</v>
      </c>
      <c r="F19" s="74">
        <v>-47.5</v>
      </c>
      <c r="G19" s="72">
        <v>-49.2</v>
      </c>
      <c r="H19" s="68">
        <v>-39.4</v>
      </c>
      <c r="I19" s="74">
        <v>-8.9</v>
      </c>
      <c r="J19" s="72">
        <v>-65.7</v>
      </c>
      <c r="K19" s="122">
        <v>-11.4</v>
      </c>
      <c r="L19" s="118">
        <f xml:space="preserve"> D$1 * (-D19) + E$1 * (-E19) + F$1 * (-F19) + G$1 * (-G19) + H$1 * (-H19) + I$1 * (-I19) + J$1 * (-J19) + K$1 * (-K19)</f>
        <v>44.810000000000009</v>
      </c>
      <c r="M19" s="113"/>
    </row>
    <row r="20" spans="1:13" ht="24" customHeight="1" x14ac:dyDescent="0.4">
      <c r="A20" s="128">
        <f>L20</f>
        <v>44.763000000000012</v>
      </c>
      <c r="B20" s="133" t="s">
        <v>161</v>
      </c>
      <c r="C20" s="77">
        <v>9120</v>
      </c>
      <c r="D20" s="68">
        <v>-39.9</v>
      </c>
      <c r="E20" s="72">
        <v>-56.1</v>
      </c>
      <c r="F20" s="74">
        <v>-51</v>
      </c>
      <c r="G20" s="72">
        <v>-52.7</v>
      </c>
      <c r="H20" s="68">
        <v>-38.4</v>
      </c>
      <c r="I20" s="74">
        <v>-2.6</v>
      </c>
      <c r="J20" s="72">
        <v>-64.2</v>
      </c>
      <c r="K20" s="122">
        <v>-12.3</v>
      </c>
      <c r="L20" s="118">
        <f xml:space="preserve"> D$1 * (-D20) + E$1 * (-E20) + F$1 * (-F20) + G$1 * (-G20) + H$1 * (-H20) + I$1 * (-I20) + J$1 * (-J20) + K$1 * (-K20)</f>
        <v>44.763000000000012</v>
      </c>
      <c r="M20" s="113"/>
    </row>
    <row r="21" spans="1:13" ht="24" customHeight="1" x14ac:dyDescent="0.4">
      <c r="A21" s="128">
        <f>L21</f>
        <v>44.211999999999996</v>
      </c>
      <c r="B21" s="133" t="s">
        <v>107</v>
      </c>
      <c r="C21" s="77">
        <v>6190</v>
      </c>
      <c r="D21" s="68">
        <v>-39.799999999999997</v>
      </c>
      <c r="E21" s="72">
        <v>-56.6</v>
      </c>
      <c r="F21" s="74">
        <v>-48.5</v>
      </c>
      <c r="G21" s="72">
        <v>-52.6</v>
      </c>
      <c r="H21" s="68">
        <v>-36.9</v>
      </c>
      <c r="I21" s="74">
        <v>-0.4</v>
      </c>
      <c r="J21" s="72">
        <v>-63.5</v>
      </c>
      <c r="K21" s="122">
        <v>-14</v>
      </c>
      <c r="L21" s="118">
        <f xml:space="preserve"> D$1 * (-D21) + E$1 * (-E21) + F$1 * (-F21) + G$1 * (-G21) + H$1 * (-H21) + I$1 * (-I21) + J$1 * (-J21) + K$1 * (-K21)</f>
        <v>44.211999999999996</v>
      </c>
      <c r="M21" s="113"/>
    </row>
    <row r="22" spans="1:13" ht="24" customHeight="1" x14ac:dyDescent="0.4">
      <c r="A22" s="128">
        <f>L22</f>
        <v>43.959999999999994</v>
      </c>
      <c r="B22" s="133" t="s">
        <v>154</v>
      </c>
      <c r="C22" s="77">
        <v>9120</v>
      </c>
      <c r="D22" s="68">
        <v>-38.9</v>
      </c>
      <c r="E22" s="72">
        <v>-55.3</v>
      </c>
      <c r="F22" s="74">
        <v>-50.9</v>
      </c>
      <c r="G22" s="72">
        <v>-51.1</v>
      </c>
      <c r="H22" s="68">
        <v>-37.299999999999997</v>
      </c>
      <c r="I22" s="74">
        <v>-2.9</v>
      </c>
      <c r="J22" s="72">
        <v>-63.5</v>
      </c>
      <c r="K22" s="122">
        <v>-11.8</v>
      </c>
      <c r="L22" s="118">
        <f xml:space="preserve"> D$1 * (-D22) + E$1 * (-E22) + F$1 * (-F22) + G$1 * (-G22) + H$1 * (-H22) + I$1 * (-I22) + J$1 * (-J22) + K$1 * (-K22)</f>
        <v>43.959999999999994</v>
      </c>
      <c r="M22" s="113"/>
    </row>
    <row r="23" spans="1:13" ht="24" customHeight="1" x14ac:dyDescent="0.4">
      <c r="A23" s="128">
        <f>L23</f>
        <v>43.783000000000001</v>
      </c>
      <c r="B23" s="133" t="s">
        <v>164</v>
      </c>
      <c r="C23" s="77">
        <v>6190</v>
      </c>
      <c r="D23" s="68">
        <v>-41.3</v>
      </c>
      <c r="E23" s="72">
        <v>-53.4</v>
      </c>
      <c r="F23" s="74">
        <v>-46.5</v>
      </c>
      <c r="G23" s="72">
        <v>-48.3</v>
      </c>
      <c r="H23" s="68">
        <v>-39.1</v>
      </c>
      <c r="I23" s="74">
        <v>-10.4</v>
      </c>
      <c r="J23" s="72">
        <v>-58.5</v>
      </c>
      <c r="K23" s="122">
        <v>-13.5</v>
      </c>
      <c r="L23" s="118">
        <f xml:space="preserve"> D$1 * (-D23) + E$1 * (-E23) + F$1 * (-F23) + G$1 * (-G23) + H$1 * (-H23) + I$1 * (-I23) + J$1 * (-J23) + K$1 * (-K23)</f>
        <v>43.783000000000001</v>
      </c>
      <c r="M23" s="113"/>
    </row>
    <row r="24" spans="1:13" ht="24" customHeight="1" x14ac:dyDescent="0.4">
      <c r="A24" s="128">
        <f>L24</f>
        <v>43.307000000000002</v>
      </c>
      <c r="B24" s="133" t="s">
        <v>163</v>
      </c>
      <c r="C24" s="77">
        <v>9120</v>
      </c>
      <c r="D24" s="68">
        <v>-39.4</v>
      </c>
      <c r="E24" s="72">
        <v>-53.3</v>
      </c>
      <c r="F24" s="74">
        <v>-47.5</v>
      </c>
      <c r="G24" s="72">
        <v>-47.4</v>
      </c>
      <c r="H24" s="68">
        <v>-38.200000000000003</v>
      </c>
      <c r="I24" s="74">
        <v>-8.9</v>
      </c>
      <c r="J24" s="72">
        <v>-65.7</v>
      </c>
      <c r="K24" s="122">
        <v>-10.3</v>
      </c>
      <c r="L24" s="118">
        <f xml:space="preserve"> D$1 * (-D24) + E$1 * (-E24) + F$1 * (-F24) + G$1 * (-G24) + H$1 * (-H24) + I$1 * (-I24) + J$1 * (-J24) + K$1 * (-K24)</f>
        <v>43.307000000000002</v>
      </c>
      <c r="M24" s="113"/>
    </row>
    <row r="25" spans="1:13" ht="24" customHeight="1" x14ac:dyDescent="0.4">
      <c r="A25" s="128">
        <f>L25</f>
        <v>43.202399999999997</v>
      </c>
      <c r="B25" s="133" t="s">
        <v>162</v>
      </c>
      <c r="C25" s="77">
        <v>9120</v>
      </c>
      <c r="D25" s="68">
        <v>-40.200000000000003</v>
      </c>
      <c r="E25" s="72">
        <v>-53.4</v>
      </c>
      <c r="F25" s="74">
        <v>-47.6</v>
      </c>
      <c r="G25" s="72">
        <v>-48.9</v>
      </c>
      <c r="H25" s="68">
        <v>-38.58</v>
      </c>
      <c r="I25" s="74">
        <v>-2.1</v>
      </c>
      <c r="J25" s="72">
        <v>-60.5</v>
      </c>
      <c r="K25" s="122">
        <v>-10.3</v>
      </c>
      <c r="L25" s="118">
        <f xml:space="preserve"> D$1 * (-D25) + E$1 * (-E25) + F$1 * (-F25) + G$1 * (-G25) + H$1 * (-H25) + I$1 * (-I25) + J$1 * (-J25) + K$1 * (-K25)</f>
        <v>43.202399999999997</v>
      </c>
      <c r="M25" s="113"/>
    </row>
    <row r="26" spans="1:13" ht="24" customHeight="1" x14ac:dyDescent="0.4">
      <c r="A26" s="128">
        <f>L26</f>
        <v>43.195999999999998</v>
      </c>
      <c r="B26" s="133" t="s">
        <v>94</v>
      </c>
      <c r="C26" s="77">
        <v>6190</v>
      </c>
      <c r="D26" s="68">
        <v>-38.1</v>
      </c>
      <c r="E26" s="72">
        <v>-55.8</v>
      </c>
      <c r="F26" s="74">
        <v>-48.4</v>
      </c>
      <c r="G26" s="72">
        <v>-51.3</v>
      </c>
      <c r="H26" s="68">
        <v>-35.700000000000003</v>
      </c>
      <c r="I26" s="74">
        <v>-4.7</v>
      </c>
      <c r="J26" s="72">
        <v>-60</v>
      </c>
      <c r="K26" s="122">
        <v>-11</v>
      </c>
      <c r="L26" s="118">
        <f xml:space="preserve"> D$1 * (-D26) + E$1 * (-E26) + F$1 * (-F26) + G$1 * (-G26) + H$1 * (-H26) + I$1 * (-I26) + J$1 * (-J26) + K$1 * (-K26)</f>
        <v>43.195999999999998</v>
      </c>
      <c r="M26" s="113"/>
    </row>
    <row r="27" spans="1:13" ht="24" customHeight="1" x14ac:dyDescent="0.4">
      <c r="A27" s="128">
        <f>L27</f>
        <v>42.821000000000005</v>
      </c>
      <c r="B27" s="133" t="s">
        <v>164</v>
      </c>
      <c r="C27" s="77">
        <v>9120</v>
      </c>
      <c r="D27" s="68">
        <v>-39.1</v>
      </c>
      <c r="E27" s="72">
        <v>-52.9</v>
      </c>
      <c r="F27" s="74">
        <v>-46.5</v>
      </c>
      <c r="G27" s="72">
        <v>-48</v>
      </c>
      <c r="H27" s="68">
        <v>-38.5</v>
      </c>
      <c r="I27" s="74">
        <v>-10.4</v>
      </c>
      <c r="J27" s="72">
        <v>-58.5</v>
      </c>
      <c r="K27" s="122">
        <v>-12.8</v>
      </c>
      <c r="L27" s="118">
        <f xml:space="preserve"> D$1 * (-D27) + E$1 * (-E27) + F$1 * (-F27) + G$1 * (-G27) + H$1 * (-H27) + I$1 * (-I27) + J$1 * (-J27) + K$1 * (-K27)</f>
        <v>42.821000000000005</v>
      </c>
      <c r="M27" s="113"/>
    </row>
    <row r="28" spans="1:13" ht="24" customHeight="1" x14ac:dyDescent="0.4">
      <c r="A28" s="128">
        <f>L28</f>
        <v>42.463999999999992</v>
      </c>
      <c r="B28" s="133" t="s">
        <v>155</v>
      </c>
      <c r="C28" s="77">
        <v>9120</v>
      </c>
      <c r="D28" s="68">
        <v>-36.4</v>
      </c>
      <c r="E28" s="72">
        <v>-55.1</v>
      </c>
      <c r="F28" s="74">
        <v>-48.5</v>
      </c>
      <c r="G28" s="72">
        <v>-51.5</v>
      </c>
      <c r="H28" s="68">
        <v>-35.5</v>
      </c>
      <c r="I28" s="74">
        <v>-0.4</v>
      </c>
      <c r="J28" s="72">
        <v>-63.5</v>
      </c>
      <c r="K28" s="122">
        <v>-12.2</v>
      </c>
      <c r="L28" s="118">
        <f xml:space="preserve"> D$1 * (-D28) + E$1 * (-E28) + F$1 * (-F28) + G$1 * (-G28) + H$1 * (-H28) + I$1 * (-I28) + J$1 * (-J28) + K$1 * (-K28)</f>
        <v>42.463999999999992</v>
      </c>
      <c r="M28" s="113"/>
    </row>
    <row r="29" spans="1:13" ht="24" customHeight="1" x14ac:dyDescent="0.4">
      <c r="A29" s="128">
        <f>L29</f>
        <v>42.218000000000004</v>
      </c>
      <c r="B29" s="133" t="s">
        <v>60</v>
      </c>
      <c r="C29" s="77">
        <v>6190</v>
      </c>
      <c r="D29" s="68">
        <v>-38.799999999999997</v>
      </c>
      <c r="E29" s="72">
        <v>-54.6</v>
      </c>
      <c r="F29" s="74">
        <v>-46.6</v>
      </c>
      <c r="G29" s="72">
        <v>-42</v>
      </c>
      <c r="H29" s="68">
        <v>-36.700000000000003</v>
      </c>
      <c r="I29" s="74">
        <v>-6.3</v>
      </c>
      <c r="J29" s="72">
        <v>-61.1</v>
      </c>
      <c r="K29" s="122">
        <v>-11.1</v>
      </c>
      <c r="L29" s="118">
        <f xml:space="preserve"> D$1 * (-D29) + E$1 * (-E29) + F$1 * (-F29) + G$1 * (-G29) + H$1 * (-H29) + I$1 * (-I29) + J$1 * (-J29) + K$1 * (-K29)</f>
        <v>42.218000000000004</v>
      </c>
      <c r="M29" s="113"/>
    </row>
    <row r="30" spans="1:13" ht="24" customHeight="1" x14ac:dyDescent="0.4">
      <c r="A30" s="128">
        <f>L30</f>
        <v>41.698000000000008</v>
      </c>
      <c r="B30" s="133" t="s">
        <v>152</v>
      </c>
      <c r="C30" s="77">
        <v>6190</v>
      </c>
      <c r="D30" s="68">
        <v>-36.5</v>
      </c>
      <c r="E30" s="72">
        <v>-54.8</v>
      </c>
      <c r="F30" s="74">
        <v>-46.4</v>
      </c>
      <c r="G30" s="72">
        <v>-49.9</v>
      </c>
      <c r="H30" s="68">
        <v>-35.700000000000003</v>
      </c>
      <c r="I30" s="74">
        <v>3</v>
      </c>
      <c r="J30" s="72">
        <v>-61.1</v>
      </c>
      <c r="K30" s="122">
        <v>-12.6</v>
      </c>
      <c r="L30" s="118">
        <f xml:space="preserve"> D$1 * (-D30) + E$1 * (-E30) + F$1 * (-F30) + G$1 * (-G30) + H$1 * (-H30) + I$1 * (-I30) + J$1 * (-J30) + K$1 * (-K30)</f>
        <v>41.698000000000008</v>
      </c>
      <c r="M30" s="113"/>
    </row>
    <row r="31" spans="1:13" ht="24" customHeight="1" x14ac:dyDescent="0.4">
      <c r="A31" s="128">
        <f>L31</f>
        <v>41.636000000000003</v>
      </c>
      <c r="B31" s="134" t="s">
        <v>165</v>
      </c>
      <c r="C31" s="77">
        <v>6190</v>
      </c>
      <c r="D31" s="68">
        <v>-38.5</v>
      </c>
      <c r="E31" s="72">
        <v>-50.4</v>
      </c>
      <c r="F31" s="74">
        <v>-47.9</v>
      </c>
      <c r="G31" s="72">
        <v>-46.7</v>
      </c>
      <c r="H31" s="68">
        <v>-37.6</v>
      </c>
      <c r="I31" s="74">
        <v>-1.1000000000000001</v>
      </c>
      <c r="J31" s="72">
        <v>-55.3</v>
      </c>
      <c r="K31" s="122">
        <v>-19.899999999999999</v>
      </c>
      <c r="L31" s="118">
        <f xml:space="preserve"> D$1 * (-D31) + E$1 * (-E31) + F$1 * (-F31) + G$1 * (-G31) + H$1 * (-H31) + I$1 * (-I31) + J$1 * (-J31) + K$1 * (-K31)</f>
        <v>41.636000000000003</v>
      </c>
      <c r="M31" s="113"/>
    </row>
    <row r="32" spans="1:13" ht="24" customHeight="1" x14ac:dyDescent="0.4">
      <c r="A32" s="128">
        <f>L32</f>
        <v>41.457000000000008</v>
      </c>
      <c r="B32" s="133" t="s">
        <v>95</v>
      </c>
      <c r="C32" s="77">
        <v>6190</v>
      </c>
      <c r="D32" s="68">
        <v>-37.799999999999997</v>
      </c>
      <c r="E32" s="72">
        <v>-54.4</v>
      </c>
      <c r="F32" s="74">
        <v>-44.8</v>
      </c>
      <c r="G32" s="72">
        <v>-42.1</v>
      </c>
      <c r="H32" s="68">
        <v>-35.4</v>
      </c>
      <c r="I32" s="74">
        <v>-8.6999999999999993</v>
      </c>
      <c r="J32" s="72">
        <v>-59</v>
      </c>
      <c r="K32" s="122">
        <v>-10</v>
      </c>
      <c r="L32" s="118">
        <f xml:space="preserve"> D$1 * (-D32) + E$1 * (-E32) + F$1 * (-F32) + G$1 * (-G32) + H$1 * (-H32) + I$1 * (-I32) + J$1 * (-J32) + K$1 * (-K32)</f>
        <v>41.457000000000008</v>
      </c>
      <c r="M32" s="113"/>
    </row>
    <row r="33" spans="1:13" ht="24" customHeight="1" x14ac:dyDescent="0.4">
      <c r="A33" s="128">
        <f>L33</f>
        <v>41.25</v>
      </c>
      <c r="B33" s="133" t="s">
        <v>108</v>
      </c>
      <c r="C33" s="77">
        <v>6190</v>
      </c>
      <c r="D33" s="68">
        <v>-35.200000000000003</v>
      </c>
      <c r="E33" s="72">
        <v>-54.6</v>
      </c>
      <c r="F33" s="74">
        <v>-46</v>
      </c>
      <c r="G33" s="72">
        <v>-48.5</v>
      </c>
      <c r="H33" s="68">
        <v>-32.9</v>
      </c>
      <c r="I33" s="74">
        <v>-3.4</v>
      </c>
      <c r="J33" s="72">
        <v>-65.599999999999994</v>
      </c>
      <c r="K33" s="122">
        <v>-8.9</v>
      </c>
      <c r="L33" s="118">
        <f xml:space="preserve"> D$1 * (-D33) + E$1 * (-E33) + F$1 * (-F33) + G$1 * (-G33) + H$1 * (-H33) + I$1 * (-I33) + J$1 * (-J33) + K$1 * (-K33)</f>
        <v>41.25</v>
      </c>
      <c r="M33" s="113"/>
    </row>
    <row r="34" spans="1:13" ht="24" customHeight="1" x14ac:dyDescent="0.4">
      <c r="A34" s="128">
        <f>L34</f>
        <v>41.235000000000007</v>
      </c>
      <c r="B34" s="133" t="s">
        <v>93</v>
      </c>
      <c r="C34" s="77">
        <v>9120</v>
      </c>
      <c r="D34" s="68">
        <v>-37</v>
      </c>
      <c r="E34" s="72">
        <v>-52.8</v>
      </c>
      <c r="F34" s="74">
        <v>-46.4</v>
      </c>
      <c r="G34" s="72">
        <v>-48.1</v>
      </c>
      <c r="H34" s="68">
        <v>-35.4</v>
      </c>
      <c r="I34" s="74">
        <v>3</v>
      </c>
      <c r="J34" s="72">
        <v>-61.1</v>
      </c>
      <c r="K34" s="122">
        <v>-10.9</v>
      </c>
      <c r="L34" s="118">
        <f xml:space="preserve"> D$1 * (-D34) + E$1 * (-E34) + F$1 * (-F34) + G$1 * (-G34) + H$1 * (-H34) + I$1 * (-I34) + J$1 * (-J34) + K$1 * (-K34)</f>
        <v>41.235000000000007</v>
      </c>
      <c r="M34" s="113"/>
    </row>
    <row r="35" spans="1:13" ht="24" customHeight="1" x14ac:dyDescent="0.4">
      <c r="A35" s="128">
        <f>L35</f>
        <v>41.01</v>
      </c>
      <c r="B35" s="133" t="s">
        <v>172</v>
      </c>
      <c r="C35" s="77">
        <v>6190</v>
      </c>
      <c r="D35" s="68">
        <v>-36.200000000000003</v>
      </c>
      <c r="E35" s="72">
        <v>-53.4</v>
      </c>
      <c r="F35" s="74">
        <v>-46.2</v>
      </c>
      <c r="G35" s="72">
        <v>-47.9</v>
      </c>
      <c r="H35" s="68">
        <v>-33.700000000000003</v>
      </c>
      <c r="I35" s="74">
        <v>-1.2</v>
      </c>
      <c r="J35" s="72">
        <v>-60</v>
      </c>
      <c r="K35" s="122">
        <v>-9.1999999999999993</v>
      </c>
      <c r="L35" s="118">
        <f xml:space="preserve"> D$1 * (-D35) + E$1 * (-E35) + F$1 * (-F35) + G$1 * (-G35) + H$1 * (-H35) + I$1 * (-I35) + J$1 * (-J35) + K$1 * (-K35)</f>
        <v>41.01</v>
      </c>
      <c r="M35" s="113"/>
    </row>
    <row r="36" spans="1:13" ht="24" customHeight="1" x14ac:dyDescent="0.4">
      <c r="A36" s="128">
        <f>L36</f>
        <v>40.68</v>
      </c>
      <c r="B36" s="133" t="s">
        <v>18</v>
      </c>
      <c r="C36" s="77">
        <v>9120</v>
      </c>
      <c r="D36" s="68">
        <v>-36.6</v>
      </c>
      <c r="E36" s="72">
        <v>-53.1</v>
      </c>
      <c r="F36" s="74">
        <v>-46.6</v>
      </c>
      <c r="G36" s="72">
        <v>-39</v>
      </c>
      <c r="H36" s="68">
        <v>-34.9</v>
      </c>
      <c r="I36" s="74">
        <v>-6.3</v>
      </c>
      <c r="J36" s="72">
        <v>-61.1</v>
      </c>
      <c r="K36" s="122">
        <v>-9.9</v>
      </c>
      <c r="L36" s="118">
        <f xml:space="preserve"> D$1 * (-D36) + E$1 * (-E36) + F$1 * (-F36) + G$1 * (-G36) + H$1 * (-H36) + I$1 * (-I36) + J$1 * (-J36) + K$1 * (-K36)</f>
        <v>40.68</v>
      </c>
      <c r="M36" s="113"/>
    </row>
    <row r="37" spans="1:13" ht="24" customHeight="1" x14ac:dyDescent="0.4">
      <c r="A37" s="128">
        <f>L37</f>
        <v>40.674000000000007</v>
      </c>
      <c r="B37" s="133" t="s">
        <v>153</v>
      </c>
      <c r="C37" s="77">
        <v>6190</v>
      </c>
      <c r="D37" s="68">
        <v>-33.4</v>
      </c>
      <c r="E37" s="72">
        <v>-55.3</v>
      </c>
      <c r="F37" s="74">
        <v>-45.6</v>
      </c>
      <c r="G37" s="72">
        <v>-50.5</v>
      </c>
      <c r="H37" s="68">
        <v>-33.299999999999997</v>
      </c>
      <c r="I37" s="74">
        <v>2.4</v>
      </c>
      <c r="J37" s="72">
        <v>-64.400000000000006</v>
      </c>
      <c r="K37" s="122">
        <v>-13.5</v>
      </c>
      <c r="L37" s="118">
        <f xml:space="preserve"> D$1 * (-D37) + E$1 * (-E37) + F$1 * (-F37) + G$1 * (-G37) + H$1 * (-H37) + I$1 * (-I37) + J$1 * (-J37) + K$1 * (-K37)</f>
        <v>40.674000000000007</v>
      </c>
      <c r="M37" s="113"/>
    </row>
    <row r="38" spans="1:13" ht="24" customHeight="1" x14ac:dyDescent="0.4">
      <c r="A38" s="128">
        <f>L38</f>
        <v>40.496000000000002</v>
      </c>
      <c r="B38" s="133" t="s">
        <v>92</v>
      </c>
      <c r="C38" s="77">
        <v>9120</v>
      </c>
      <c r="D38" s="68">
        <v>-34.799999999999997</v>
      </c>
      <c r="E38" s="72">
        <v>-53</v>
      </c>
      <c r="F38" s="74">
        <v>-45.6</v>
      </c>
      <c r="G38" s="72">
        <v>-48.4</v>
      </c>
      <c r="H38" s="68">
        <v>-33.700000000000003</v>
      </c>
      <c r="I38" s="74">
        <v>2.4</v>
      </c>
      <c r="J38" s="72">
        <v>-64.400000000000006</v>
      </c>
      <c r="K38" s="122">
        <v>-12</v>
      </c>
      <c r="L38" s="118">
        <f xml:space="preserve"> D$1 * (-D38) + E$1 * (-E38) + F$1 * (-F38) + G$1 * (-G38) + H$1 * (-H38) + I$1 * (-I38) + J$1 * (-J38) + K$1 * (-K38)</f>
        <v>40.496000000000002</v>
      </c>
      <c r="M38" s="113"/>
    </row>
    <row r="39" spans="1:13" ht="24" customHeight="1" x14ac:dyDescent="0.4">
      <c r="A39" s="128">
        <f>L39</f>
        <v>40.383000000000003</v>
      </c>
      <c r="B39" s="134" t="s">
        <v>165</v>
      </c>
      <c r="C39" s="77">
        <v>9120</v>
      </c>
      <c r="D39" s="68">
        <v>-36.799999999999997</v>
      </c>
      <c r="E39" s="72">
        <v>-48.9</v>
      </c>
      <c r="F39" s="74">
        <v>-47.9</v>
      </c>
      <c r="G39" s="72">
        <v>-44.6</v>
      </c>
      <c r="H39" s="68">
        <v>-36.200000000000003</v>
      </c>
      <c r="I39" s="74">
        <v>-1.1000000000000001</v>
      </c>
      <c r="J39" s="72">
        <v>-55.3</v>
      </c>
      <c r="K39" s="122">
        <v>-18.100000000000001</v>
      </c>
      <c r="L39" s="118">
        <f xml:space="preserve"> D$1 * (-D39) + E$1 * (-E39) + F$1 * (-F39) + G$1 * (-G39) + H$1 * (-H39) + I$1 * (-I39) + J$1 * (-J39) + K$1 * (-K39)</f>
        <v>40.383000000000003</v>
      </c>
      <c r="M39" s="113"/>
    </row>
    <row r="40" spans="1:13" ht="24" customHeight="1" x14ac:dyDescent="0.4">
      <c r="A40" s="128">
        <f>L40</f>
        <v>39.676000000000002</v>
      </c>
      <c r="B40" s="133" t="s">
        <v>172</v>
      </c>
      <c r="C40" s="77">
        <v>9120</v>
      </c>
      <c r="D40" s="68">
        <v>-34</v>
      </c>
      <c r="E40" s="72">
        <v>-51.5</v>
      </c>
      <c r="F40" s="74">
        <v>-46.2</v>
      </c>
      <c r="G40" s="72">
        <v>-47.7</v>
      </c>
      <c r="H40" s="68">
        <v>-32</v>
      </c>
      <c r="I40" s="74">
        <v>-1.2</v>
      </c>
      <c r="J40" s="72">
        <v>-60</v>
      </c>
      <c r="K40" s="122">
        <v>-7.8</v>
      </c>
      <c r="L40" s="118">
        <f xml:space="preserve"> D$1 * (-D40) + E$1 * (-E40) + F$1 * (-F40) + G$1 * (-G40) + H$1 * (-H40) + I$1 * (-I40) + J$1 * (-J40) + K$1 * (-K40)</f>
        <v>39.676000000000002</v>
      </c>
      <c r="M40" s="113"/>
    </row>
    <row r="41" spans="1:13" ht="24" customHeight="1" x14ac:dyDescent="0.4">
      <c r="A41" s="128">
        <f>L41</f>
        <v>38.885999999999996</v>
      </c>
      <c r="B41" s="134" t="s">
        <v>180</v>
      </c>
      <c r="C41" s="77">
        <v>9120</v>
      </c>
      <c r="D41" s="68">
        <v>-35</v>
      </c>
      <c r="E41" s="72">
        <v>-48.3</v>
      </c>
      <c r="F41" s="74">
        <v>-44.4</v>
      </c>
      <c r="G41" s="72">
        <v>-42.2</v>
      </c>
      <c r="H41" s="68">
        <v>-32.9</v>
      </c>
      <c r="I41" s="74">
        <v>-6</v>
      </c>
      <c r="J41" s="72">
        <v>-57.8</v>
      </c>
      <c r="K41" s="122">
        <v>-13.7</v>
      </c>
      <c r="L41" s="118">
        <f xml:space="preserve"> D$1 * (-D41) + E$1 * (-E41) + F$1 * (-F41) + G$1 * (-G41) + H$1 * (-H41) + I$1 * (-I41) + J$1 * (-J41) + K$1 * (-K41)</f>
        <v>38.885999999999996</v>
      </c>
      <c r="M41" s="113"/>
    </row>
    <row r="42" spans="1:13" ht="24" customHeight="1" x14ac:dyDescent="0.4">
      <c r="A42" s="128">
        <f>L42</f>
        <v>38.398999999999994</v>
      </c>
      <c r="B42" s="133" t="s">
        <v>111</v>
      </c>
      <c r="C42" s="77">
        <v>6190</v>
      </c>
      <c r="D42" s="68">
        <v>-35.9</v>
      </c>
      <c r="E42" s="72">
        <v>-50.7</v>
      </c>
      <c r="F42" s="74">
        <v>-40.9</v>
      </c>
      <c r="G42" s="72">
        <v>-37.299999999999997</v>
      </c>
      <c r="H42" s="68">
        <v>-33.200000000000003</v>
      </c>
      <c r="I42" s="74">
        <v>-3.7</v>
      </c>
      <c r="J42" s="72">
        <v>-56.2</v>
      </c>
      <c r="K42" s="122">
        <v>-8.9</v>
      </c>
      <c r="L42" s="118">
        <f xml:space="preserve"> D$1 * (-D42) + E$1 * (-E42) + F$1 * (-F42) + G$1 * (-G42) + H$1 * (-H42) + I$1 * (-I42) + J$1 * (-J42) + K$1 * (-K42)</f>
        <v>38.398999999999994</v>
      </c>
      <c r="M42" s="113"/>
    </row>
    <row r="43" spans="1:13" ht="24" customHeight="1" x14ac:dyDescent="0.4">
      <c r="A43" s="128">
        <f>L43</f>
        <v>38.265000000000001</v>
      </c>
      <c r="B43" s="133" t="s">
        <v>112</v>
      </c>
      <c r="C43" s="77">
        <v>6190</v>
      </c>
      <c r="D43" s="68">
        <v>-35.5</v>
      </c>
      <c r="E43" s="72">
        <v>-51.9</v>
      </c>
      <c r="F43" s="74">
        <v>-41.1</v>
      </c>
      <c r="G43" s="72">
        <v>-34.5</v>
      </c>
      <c r="H43" s="68">
        <v>-32.9</v>
      </c>
      <c r="I43" s="74">
        <v>-5</v>
      </c>
      <c r="J43" s="72">
        <v>-56.1</v>
      </c>
      <c r="K43" s="122">
        <v>-7.9</v>
      </c>
      <c r="L43" s="118">
        <f xml:space="preserve"> D$1 * (-D43) + E$1 * (-E43) + F$1 * (-F43) + G$1 * (-G43) + H$1 * (-H43) + I$1 * (-I43) + J$1 * (-J43) + K$1 * (-K43)</f>
        <v>38.265000000000001</v>
      </c>
      <c r="M43" s="113"/>
    </row>
    <row r="44" spans="1:13" ht="24" customHeight="1" x14ac:dyDescent="0.4">
      <c r="A44" s="128">
        <f>L44</f>
        <v>38.071000000000005</v>
      </c>
      <c r="B44" s="135" t="s">
        <v>113</v>
      </c>
      <c r="C44" s="77">
        <v>6190</v>
      </c>
      <c r="D44" s="68">
        <v>-35.4</v>
      </c>
      <c r="E44" s="72">
        <v>-48.5</v>
      </c>
      <c r="F44" s="74">
        <v>-41</v>
      </c>
      <c r="G44" s="72">
        <v>-36</v>
      </c>
      <c r="H44" s="68">
        <v>-32.4</v>
      </c>
      <c r="I44" s="74">
        <v>-15.3</v>
      </c>
      <c r="J44" s="72">
        <v>-55.6</v>
      </c>
      <c r="K44" s="122">
        <v>-4.7</v>
      </c>
      <c r="L44" s="118">
        <f xml:space="preserve"> D$1 * (-D44) + E$1 * (-E44) + F$1 * (-F44) + G$1 * (-G44) + H$1 * (-H44) + I$1 * (-I44) + J$1 * (-J44) + K$1 * (-K44)</f>
        <v>38.071000000000005</v>
      </c>
      <c r="M44" s="113"/>
    </row>
    <row r="45" spans="1:13" ht="24" customHeight="1" x14ac:dyDescent="0.4">
      <c r="A45" s="128">
        <f>L45</f>
        <v>36.846999999999994</v>
      </c>
      <c r="B45" s="134" t="s">
        <v>182</v>
      </c>
      <c r="C45" s="77" t="s">
        <v>183</v>
      </c>
      <c r="D45" s="68">
        <v>-30.8</v>
      </c>
      <c r="E45" s="72">
        <v>-49.5</v>
      </c>
      <c r="F45" s="74">
        <v>-40.5</v>
      </c>
      <c r="G45" s="72">
        <v>-45.7</v>
      </c>
      <c r="H45" s="68">
        <v>-29.9</v>
      </c>
      <c r="I45" s="74">
        <v>1.7</v>
      </c>
      <c r="J45" s="72">
        <v>-59.7</v>
      </c>
      <c r="K45" s="122">
        <v>-11.5</v>
      </c>
      <c r="L45" s="118">
        <f xml:space="preserve"> D$1 * (-D45) + E$1 * (-E45) + F$1 * (-F45) + G$1 * (-G45) + H$1 * (-H45) + I$1 * (-I45) + J$1 * (-J45) + K$1 * (-K45)</f>
        <v>36.846999999999994</v>
      </c>
      <c r="M45" s="113"/>
    </row>
    <row r="46" spans="1:13" ht="24" customHeight="1" x14ac:dyDescent="0.4">
      <c r="A46" s="128">
        <f>L46</f>
        <v>36.591999999999999</v>
      </c>
      <c r="B46" s="133" t="s">
        <v>52</v>
      </c>
      <c r="C46" s="77">
        <v>6190</v>
      </c>
      <c r="D46" s="68">
        <v>-33.200000000000003</v>
      </c>
      <c r="E46" s="72">
        <v>-49.4</v>
      </c>
      <c r="F46" s="74">
        <v>-40</v>
      </c>
      <c r="G46" s="72">
        <v>-34.5</v>
      </c>
      <c r="H46" s="68">
        <v>-30.8</v>
      </c>
      <c r="I46" s="74">
        <v>-4.4000000000000004</v>
      </c>
      <c r="J46" s="72">
        <v>-56.4</v>
      </c>
      <c r="K46" s="122">
        <v>-6.9</v>
      </c>
      <c r="L46" s="118">
        <f xml:space="preserve"> D$1 * (-D46) + E$1 * (-E46) + F$1 * (-F46) + G$1 * (-G46) + H$1 * (-H46) + I$1 * (-I46) + J$1 * (-J46) + K$1 * (-K46)</f>
        <v>36.591999999999999</v>
      </c>
      <c r="M46" s="113"/>
    </row>
    <row r="47" spans="1:13" ht="24" customHeight="1" x14ac:dyDescent="0.4">
      <c r="A47" s="128">
        <f>L47</f>
        <v>36.019000000000005</v>
      </c>
      <c r="B47" s="133" t="s">
        <v>106</v>
      </c>
      <c r="C47" s="77">
        <v>9120</v>
      </c>
      <c r="D47" s="68">
        <v>-32.299999999999997</v>
      </c>
      <c r="E47" s="72">
        <v>-48.7</v>
      </c>
      <c r="F47" s="74">
        <v>-40</v>
      </c>
      <c r="G47" s="72">
        <v>-34.4</v>
      </c>
      <c r="H47" s="68">
        <v>-29.7</v>
      </c>
      <c r="I47" s="74">
        <v>-4.4000000000000004</v>
      </c>
      <c r="J47" s="72">
        <v>-56.4</v>
      </c>
      <c r="K47" s="122">
        <v>-5.9</v>
      </c>
      <c r="L47" s="118">
        <f xml:space="preserve"> D$1 * (-D47) + E$1 * (-E47) + F$1 * (-F47) + G$1 * (-G47) + H$1 * (-H47) + I$1 * (-I47) + J$1 * (-J47) + K$1 * (-K47)</f>
        <v>36.019000000000005</v>
      </c>
      <c r="M47" s="113"/>
    </row>
    <row r="48" spans="1:13" ht="24" customHeight="1" x14ac:dyDescent="0.4">
      <c r="A48" s="128">
        <f>L48</f>
        <v>35.296000000000006</v>
      </c>
      <c r="B48" s="136" t="s">
        <v>100</v>
      </c>
      <c r="C48" s="77">
        <v>9120</v>
      </c>
      <c r="D48" s="68">
        <v>-32.4</v>
      </c>
      <c r="E48" s="72">
        <v>-45.2</v>
      </c>
      <c r="F48" s="74">
        <v>-40.1</v>
      </c>
      <c r="G48" s="72">
        <v>-36.9</v>
      </c>
      <c r="H48" s="68">
        <v>-29.2</v>
      </c>
      <c r="I48" s="74">
        <v>-4.5</v>
      </c>
      <c r="J48" s="72">
        <v>-50.4</v>
      </c>
      <c r="K48" s="122">
        <v>-6.5</v>
      </c>
      <c r="L48" s="118">
        <f xml:space="preserve"> D$1 * (-D48) + E$1 * (-E48) + F$1 * (-F48) + G$1 * (-G48) + H$1 * (-H48) + I$1 * (-I48) + J$1 * (-J48) + K$1 * (-K48)</f>
        <v>35.296000000000006</v>
      </c>
      <c r="M48" s="113"/>
    </row>
    <row r="49" spans="1:13" ht="24" customHeight="1" x14ac:dyDescent="0.4">
      <c r="A49" s="128">
        <f>L49</f>
        <v>35.105999999999995</v>
      </c>
      <c r="B49" s="133" t="s">
        <v>185</v>
      </c>
      <c r="C49" s="77">
        <v>6190</v>
      </c>
      <c r="D49" s="68">
        <v>-31.9</v>
      </c>
      <c r="E49" s="72">
        <v>-46.8</v>
      </c>
      <c r="F49" s="74">
        <v>-38.700000000000003</v>
      </c>
      <c r="G49" s="72">
        <v>-33.200000000000003</v>
      </c>
      <c r="H49" s="68">
        <v>-29.7</v>
      </c>
      <c r="I49" s="74">
        <v>-4.9000000000000004</v>
      </c>
      <c r="J49" s="72">
        <v>-53.9</v>
      </c>
      <c r="K49" s="122">
        <v>-7</v>
      </c>
      <c r="L49" s="118">
        <f xml:space="preserve"> D$1 * (-D49) + E$1 * (-E49) + F$1 * (-F49) + G$1 * (-G49) + H$1 * (-H49) + I$1 * (-I49) + J$1 * (-J49) + K$1 * (-K49)</f>
        <v>35.105999999999995</v>
      </c>
      <c r="M49" s="113"/>
    </row>
    <row r="50" spans="1:13" ht="24" customHeight="1" x14ac:dyDescent="0.4">
      <c r="A50" s="128">
        <f>L50</f>
        <v>34.978000000000002</v>
      </c>
      <c r="B50" s="133" t="s">
        <v>166</v>
      </c>
      <c r="C50" s="77">
        <v>6190</v>
      </c>
      <c r="D50" s="68">
        <v>-32.4</v>
      </c>
      <c r="E50" s="72">
        <v>-45.7</v>
      </c>
      <c r="F50" s="74">
        <v>-38.9</v>
      </c>
      <c r="G50" s="72">
        <v>-31.7</v>
      </c>
      <c r="H50" s="68">
        <v>-30</v>
      </c>
      <c r="I50" s="74">
        <v>-7.8</v>
      </c>
      <c r="J50" s="72">
        <v>-52.3</v>
      </c>
      <c r="K50" s="122">
        <v>-4.4000000000000004</v>
      </c>
      <c r="L50" s="118">
        <f xml:space="preserve"> D$1 * (-D50) + E$1 * (-E50) + F$1 * (-F50) + G$1 * (-G50) + H$1 * (-H50) + I$1 * (-I50) + J$1 * (-J50) + K$1 * (-K50)</f>
        <v>34.978000000000002</v>
      </c>
      <c r="M50" s="113"/>
    </row>
    <row r="51" spans="1:13" ht="24" customHeight="1" x14ac:dyDescent="0.4">
      <c r="A51" s="128">
        <f>L51</f>
        <v>34.865000000000002</v>
      </c>
      <c r="B51" s="133" t="s">
        <v>192</v>
      </c>
      <c r="C51" s="77">
        <v>6190</v>
      </c>
      <c r="D51" s="68">
        <v>-31.6</v>
      </c>
      <c r="E51" s="72">
        <v>-45.6</v>
      </c>
      <c r="F51" s="74">
        <v>-39.299999999999997</v>
      </c>
      <c r="G51" s="72">
        <v>-35.299999999999997</v>
      </c>
      <c r="H51" s="68">
        <v>-28.9</v>
      </c>
      <c r="I51" s="74">
        <v>-3.4</v>
      </c>
      <c r="J51" s="72">
        <v>-53.4</v>
      </c>
      <c r="K51" s="122">
        <v>-5.4</v>
      </c>
      <c r="L51" s="118">
        <f xml:space="preserve"> D$1 * (-D51) + E$1 * (-E51) + F$1 * (-F51) + G$1 * (-G51) + H$1 * (-H51) + I$1 * (-I51) + J$1 * (-J51) + K$1 * (-K51)</f>
        <v>34.865000000000002</v>
      </c>
      <c r="M51" s="113" t="s">
        <v>190</v>
      </c>
    </row>
    <row r="52" spans="1:13" ht="24" customHeight="1" x14ac:dyDescent="0.4">
      <c r="A52" s="128">
        <f>L52</f>
        <v>34.797000000000004</v>
      </c>
      <c r="B52" s="136" t="s">
        <v>76</v>
      </c>
      <c r="C52" s="77">
        <v>6190</v>
      </c>
      <c r="D52" s="68">
        <v>-32.299999999999997</v>
      </c>
      <c r="E52" s="72">
        <v>-43.7</v>
      </c>
      <c r="F52" s="74">
        <v>-39.4</v>
      </c>
      <c r="G52" s="72">
        <v>-33.4</v>
      </c>
      <c r="H52" s="68">
        <v>-29.4</v>
      </c>
      <c r="I52" s="74">
        <v>-12</v>
      </c>
      <c r="J52" s="72">
        <v>-49.6</v>
      </c>
      <c r="K52" s="122">
        <v>-3.5</v>
      </c>
      <c r="L52" s="118">
        <f xml:space="preserve"> D$1 * (-D52) + E$1 * (-E52) + F$1 * (-F52) + G$1 * (-G52) + H$1 * (-H52) + I$1 * (-I52) + J$1 * (-J52) + K$1 * (-K52)</f>
        <v>34.797000000000004</v>
      </c>
      <c r="M52" s="113"/>
    </row>
    <row r="53" spans="1:13" ht="24" customHeight="1" x14ac:dyDescent="0.4">
      <c r="A53" s="128">
        <f>L53</f>
        <v>34.576999999999998</v>
      </c>
      <c r="B53" s="136" t="s">
        <v>167</v>
      </c>
      <c r="C53" s="77">
        <v>9120</v>
      </c>
      <c r="D53" s="68">
        <v>-31.5</v>
      </c>
      <c r="E53" s="72">
        <v>-45.3</v>
      </c>
      <c r="F53" s="74">
        <v>-40</v>
      </c>
      <c r="G53" s="72">
        <v>-34.9</v>
      </c>
      <c r="H53" s="68">
        <v>-28.5</v>
      </c>
      <c r="I53" s="74">
        <v>0.6</v>
      </c>
      <c r="J53" s="72">
        <v>-53</v>
      </c>
      <c r="K53" s="122">
        <v>-5.0999999999999996</v>
      </c>
      <c r="L53" s="118">
        <f xml:space="preserve"> D$1 * (-D53) + E$1 * (-E53) + F$1 * (-F53) + G$1 * (-G53) + H$1 * (-H53) + I$1 * (-I53) + J$1 * (-J53) + K$1 * (-K53)</f>
        <v>34.576999999999998</v>
      </c>
      <c r="M53" s="113"/>
    </row>
    <row r="54" spans="1:13" ht="24" customHeight="1" x14ac:dyDescent="0.4">
      <c r="A54" s="128">
        <f>L54</f>
        <v>34.329000000000001</v>
      </c>
      <c r="B54" s="133" t="s">
        <v>78</v>
      </c>
      <c r="C54" s="77">
        <v>6190</v>
      </c>
      <c r="D54" s="68">
        <v>-30.4</v>
      </c>
      <c r="E54" s="72">
        <v>-44.5</v>
      </c>
      <c r="F54" s="74">
        <v>-40.200000000000003</v>
      </c>
      <c r="G54" s="72">
        <v>-34.9</v>
      </c>
      <c r="H54" s="68">
        <v>-27.9</v>
      </c>
      <c r="I54" s="74">
        <v>-5.7</v>
      </c>
      <c r="J54" s="72">
        <v>-54</v>
      </c>
      <c r="K54" s="122">
        <v>-2.6</v>
      </c>
      <c r="L54" s="118">
        <f xml:space="preserve"> D$1 * (-D54) + E$1 * (-E54) + F$1 * (-F54) + G$1 * (-G54) + H$1 * (-H54) + I$1 * (-I54) + J$1 * (-J54) + K$1 * (-K54)</f>
        <v>34.329000000000001</v>
      </c>
      <c r="M54" s="113"/>
    </row>
    <row r="55" spans="1:13" ht="24" customHeight="1" x14ac:dyDescent="0.4">
      <c r="A55" s="128">
        <f>L55</f>
        <v>33.935000000000002</v>
      </c>
      <c r="B55" s="133" t="s">
        <v>105</v>
      </c>
      <c r="C55" s="77">
        <v>6190</v>
      </c>
      <c r="D55" s="68">
        <v>-30.2</v>
      </c>
      <c r="E55" s="72">
        <v>-47.1</v>
      </c>
      <c r="F55" s="74">
        <v>-38.700000000000003</v>
      </c>
      <c r="G55" s="72">
        <v>-31.7</v>
      </c>
      <c r="H55" s="68">
        <v>-28.1</v>
      </c>
      <c r="I55" s="74">
        <v>0.5</v>
      </c>
      <c r="J55" s="72">
        <v>-52.5</v>
      </c>
      <c r="K55" s="122">
        <v>-6.1</v>
      </c>
      <c r="L55" s="118">
        <f xml:space="preserve"> D$1 * (-D55) + E$1 * (-E55) + F$1 * (-F55) + G$1 * (-G55) + H$1 * (-H55) + I$1 * (-I55) + J$1 * (-J55) + K$1 * (-K55)</f>
        <v>33.935000000000002</v>
      </c>
      <c r="M55" s="113"/>
    </row>
    <row r="56" spans="1:13" ht="24" customHeight="1" x14ac:dyDescent="0.4">
      <c r="A56" s="128">
        <f>L56</f>
        <v>33.923000000000002</v>
      </c>
      <c r="B56" s="133" t="s">
        <v>104</v>
      </c>
      <c r="C56" s="77">
        <v>9120</v>
      </c>
      <c r="D56" s="68">
        <v>-29.8</v>
      </c>
      <c r="E56" s="72">
        <v>-46.1</v>
      </c>
      <c r="F56" s="74">
        <v>-38.700000000000003</v>
      </c>
      <c r="G56" s="72">
        <v>-31.5</v>
      </c>
      <c r="H56" s="68">
        <v>-28.2</v>
      </c>
      <c r="I56" s="74">
        <v>-4.9000000000000004</v>
      </c>
      <c r="J56" s="72">
        <v>-53.9</v>
      </c>
      <c r="K56" s="122">
        <v>-6.1</v>
      </c>
      <c r="L56" s="118">
        <f xml:space="preserve"> D$1 * (-D56) + E$1 * (-E56) + F$1 * (-F56) + G$1 * (-G56) + H$1 * (-H56) + I$1 * (-I56) + J$1 * (-J56) + K$1 * (-K56)</f>
        <v>33.923000000000002</v>
      </c>
      <c r="M56" s="113"/>
    </row>
    <row r="57" spans="1:13" ht="24" customHeight="1" x14ac:dyDescent="0.4">
      <c r="A57" s="128">
        <f>L57</f>
        <v>33.673000000000002</v>
      </c>
      <c r="B57" s="136" t="s">
        <v>76</v>
      </c>
      <c r="C57" s="77">
        <v>9120</v>
      </c>
      <c r="D57" s="68">
        <v>-31.3</v>
      </c>
      <c r="E57" s="72">
        <v>-42</v>
      </c>
      <c r="F57" s="74">
        <v>-39.4</v>
      </c>
      <c r="G57" s="72">
        <v>-30.9</v>
      </c>
      <c r="H57" s="68">
        <v>-27.5</v>
      </c>
      <c r="I57" s="74">
        <v>-12</v>
      </c>
      <c r="J57" s="72">
        <v>-49.6</v>
      </c>
      <c r="K57" s="122">
        <v>-1.9</v>
      </c>
      <c r="L57" s="118">
        <f xml:space="preserve"> D$1 * (-D57) + E$1 * (-E57) + F$1 * (-F57) + G$1 * (-G57) + H$1 * (-H57) + I$1 * (-I57) + J$1 * (-J57) + K$1 * (-K57)</f>
        <v>33.673000000000002</v>
      </c>
      <c r="M57" s="113"/>
    </row>
    <row r="58" spans="1:13" ht="24" customHeight="1" x14ac:dyDescent="0.4">
      <c r="A58" s="128">
        <f>L58</f>
        <v>33.536000000000001</v>
      </c>
      <c r="B58" s="133" t="s">
        <v>166</v>
      </c>
      <c r="C58" s="77">
        <v>9120</v>
      </c>
      <c r="D58" s="68">
        <v>-31</v>
      </c>
      <c r="E58" s="72">
        <v>-42.6</v>
      </c>
      <c r="F58" s="74">
        <v>-38.9</v>
      </c>
      <c r="G58" s="72">
        <v>-30.6</v>
      </c>
      <c r="H58" s="68">
        <v>-27.7</v>
      </c>
      <c r="I58" s="74">
        <v>-7.8</v>
      </c>
      <c r="J58" s="72">
        <v>-52.3</v>
      </c>
      <c r="K58" s="122">
        <v>-2.5</v>
      </c>
      <c r="L58" s="118">
        <f xml:space="preserve"> D$1 * (-D58) + E$1 * (-E58) + F$1 * (-F58) + G$1 * (-G58) + H$1 * (-H58) + I$1 * (-I58) + J$1 * (-J58) + K$1 * (-K58)</f>
        <v>33.536000000000001</v>
      </c>
      <c r="M58" s="113"/>
    </row>
    <row r="59" spans="1:13" ht="24" customHeight="1" x14ac:dyDescent="0.4">
      <c r="A59" s="128">
        <f>L59</f>
        <v>33.497000000000007</v>
      </c>
      <c r="B59" s="133" t="s">
        <v>109</v>
      </c>
      <c r="C59" s="77">
        <v>9120</v>
      </c>
      <c r="D59" s="68">
        <v>-29.4</v>
      </c>
      <c r="E59" s="72">
        <v>-44.4</v>
      </c>
      <c r="F59" s="74">
        <v>-39.299999999999997</v>
      </c>
      <c r="G59" s="72">
        <v>-33.200000000000003</v>
      </c>
      <c r="H59" s="68">
        <v>-27.3</v>
      </c>
      <c r="I59" s="74">
        <v>-3.4</v>
      </c>
      <c r="J59" s="72">
        <v>-53.4</v>
      </c>
      <c r="K59" s="122">
        <v>-4.4000000000000004</v>
      </c>
      <c r="L59" s="118">
        <f xml:space="preserve"> D$1 * (-D59) + E$1 * (-E59) + F$1 * (-F59) + G$1 * (-G59) + H$1 * (-H59) + I$1 * (-I59) + J$1 * (-J59) + K$1 * (-K59)</f>
        <v>33.497000000000007</v>
      </c>
      <c r="M59" s="113"/>
    </row>
    <row r="60" spans="1:13" ht="24" customHeight="1" x14ac:dyDescent="0.4">
      <c r="A60" s="128">
        <f>L60</f>
        <v>32.835000000000001</v>
      </c>
      <c r="B60" s="133" t="s">
        <v>72</v>
      </c>
      <c r="C60" s="77">
        <v>6190</v>
      </c>
      <c r="D60" s="68">
        <v>-28.4</v>
      </c>
      <c r="E60" s="72">
        <v>-44.5</v>
      </c>
      <c r="F60" s="74">
        <v>-36.299999999999997</v>
      </c>
      <c r="G60" s="72">
        <v>-37.799999999999997</v>
      </c>
      <c r="H60" s="68">
        <v>-26</v>
      </c>
      <c r="I60" s="74">
        <v>-0.7</v>
      </c>
      <c r="J60" s="72">
        <v>-51.5</v>
      </c>
      <c r="K60" s="122">
        <v>-4</v>
      </c>
      <c r="L60" s="118">
        <f xml:space="preserve"> D$1 * (-D60) + E$1 * (-E60) + F$1 * (-F60) + G$1 * (-G60) + H$1 * (-H60) + I$1 * (-I60) + J$1 * (-J60) + K$1 * (-K60)</f>
        <v>32.835000000000001</v>
      </c>
      <c r="M60" s="113"/>
    </row>
    <row r="61" spans="1:13" ht="24" customHeight="1" x14ac:dyDescent="0.4">
      <c r="A61" s="128">
        <f>L61</f>
        <v>32.736000000000004</v>
      </c>
      <c r="B61" s="133" t="s">
        <v>199</v>
      </c>
      <c r="C61" s="77">
        <v>6190</v>
      </c>
      <c r="D61" s="68">
        <v>-26.1</v>
      </c>
      <c r="E61" s="72">
        <v>-48.6</v>
      </c>
      <c r="F61" s="74">
        <v>-35.200000000000003</v>
      </c>
      <c r="G61" s="72">
        <v>-39.4</v>
      </c>
      <c r="H61" s="68">
        <v>-24.5</v>
      </c>
      <c r="I61" s="74">
        <v>2.5</v>
      </c>
      <c r="J61" s="72">
        <v>-55</v>
      </c>
      <c r="K61" s="122">
        <v>-3.8</v>
      </c>
      <c r="L61" s="118">
        <f xml:space="preserve"> D$1 * (-D61) + E$1 * (-E61) + F$1 * (-F61) + G$1 * (-G61) + H$1 * (-H61) + I$1 * (-I61) + J$1 * (-J61) + K$1 * (-K61)</f>
        <v>32.736000000000004</v>
      </c>
      <c r="M61" s="113"/>
    </row>
    <row r="62" spans="1:13" ht="24" customHeight="1" x14ac:dyDescent="0.4">
      <c r="A62" s="128">
        <f>L62</f>
        <v>32.586000000000006</v>
      </c>
      <c r="B62" s="133" t="s">
        <v>78</v>
      </c>
      <c r="C62" s="77">
        <v>9120</v>
      </c>
      <c r="D62" s="68">
        <v>-28.7</v>
      </c>
      <c r="E62" s="72">
        <v>-41.1</v>
      </c>
      <c r="F62" s="74">
        <v>-40.200000000000003</v>
      </c>
      <c r="G62" s="72">
        <v>-32.6</v>
      </c>
      <c r="H62" s="68">
        <v>-25.4</v>
      </c>
      <c r="I62" s="74">
        <v>-5.7</v>
      </c>
      <c r="J62" s="72">
        <v>-54</v>
      </c>
      <c r="K62" s="122">
        <v>-0.7</v>
      </c>
      <c r="L62" s="118">
        <f xml:space="preserve"> D$1 * (-D62) + E$1 * (-E62) + F$1 * (-F62) + G$1 * (-G62) + H$1 * (-H62) + I$1 * (-I62) + J$1 * (-J62) + K$1 * (-K62)</f>
        <v>32.586000000000006</v>
      </c>
      <c r="M62" s="113"/>
    </row>
    <row r="63" spans="1:13" ht="24" customHeight="1" x14ac:dyDescent="0.4">
      <c r="A63" s="128">
        <f>L63</f>
        <v>32.410999999999994</v>
      </c>
      <c r="B63" s="137" t="s">
        <v>70</v>
      </c>
      <c r="C63" s="77">
        <v>6190</v>
      </c>
      <c r="D63" s="68">
        <v>-29.4</v>
      </c>
      <c r="E63" s="72">
        <v>-44.8</v>
      </c>
      <c r="F63" s="74">
        <v>-36</v>
      </c>
      <c r="G63" s="72">
        <v>-28.2</v>
      </c>
      <c r="H63" s="68">
        <v>-27.1</v>
      </c>
      <c r="I63" s="74">
        <v>-3.3</v>
      </c>
      <c r="J63" s="72">
        <v>-50.2</v>
      </c>
      <c r="K63" s="122">
        <v>-4.9000000000000004</v>
      </c>
      <c r="L63" s="118">
        <f xml:space="preserve"> D$1 * (-D63) + E$1 * (-E63) + F$1 * (-F63) + G$1 * (-G63) + H$1 * (-H63) + I$1 * (-I63) + J$1 * (-J63) + K$1 * (-K63)</f>
        <v>32.410999999999994</v>
      </c>
      <c r="M63" s="113"/>
    </row>
    <row r="64" spans="1:13" ht="24" customHeight="1" x14ac:dyDescent="0.4">
      <c r="A64" s="128">
        <f>L64</f>
        <v>32.398000000000003</v>
      </c>
      <c r="B64" s="133" t="s">
        <v>72</v>
      </c>
      <c r="C64" s="77">
        <v>9120</v>
      </c>
      <c r="D64" s="68">
        <v>-27.9</v>
      </c>
      <c r="E64" s="72">
        <v>-44.2</v>
      </c>
      <c r="F64" s="74">
        <v>-36.299999999999997</v>
      </c>
      <c r="G64" s="72">
        <v>-36.5</v>
      </c>
      <c r="H64" s="68">
        <v>-25.3</v>
      </c>
      <c r="I64" s="74">
        <v>-0.7</v>
      </c>
      <c r="J64" s="72">
        <v>-51.5</v>
      </c>
      <c r="K64" s="122">
        <v>-3.2</v>
      </c>
      <c r="L64" s="118">
        <f xml:space="preserve"> D$1 * (-D64) + E$1 * (-E64) + F$1 * (-F64) + G$1 * (-G64) + H$1 * (-H64) + I$1 * (-I64) + J$1 * (-J64) + K$1 * (-K64)</f>
        <v>32.398000000000003</v>
      </c>
      <c r="M64" s="113"/>
    </row>
    <row r="65" spans="1:13" ht="24" customHeight="1" x14ac:dyDescent="0.4">
      <c r="A65" s="128">
        <f>L65</f>
        <v>31.989000000000004</v>
      </c>
      <c r="B65" s="137" t="s">
        <v>70</v>
      </c>
      <c r="C65" s="77" t="s">
        <v>159</v>
      </c>
      <c r="D65" s="68">
        <v>-28.4</v>
      </c>
      <c r="E65" s="72">
        <v>-45.3</v>
      </c>
      <c r="F65" s="74">
        <v>-36</v>
      </c>
      <c r="G65" s="72">
        <v>-27.6</v>
      </c>
      <c r="H65" s="68">
        <v>-26</v>
      </c>
      <c r="I65" s="74">
        <v>-3.3</v>
      </c>
      <c r="J65" s="72">
        <v>-50.2</v>
      </c>
      <c r="K65" s="122">
        <v>-3.7</v>
      </c>
      <c r="L65" s="118">
        <f xml:space="preserve"> D$1 * (-D65) + E$1 * (-E65) + F$1 * (-F65) + G$1 * (-G65) + H$1 * (-H65) + I$1 * (-I65) + J$1 * (-J65) + K$1 * (-K65)</f>
        <v>31.989000000000004</v>
      </c>
      <c r="M65" s="113"/>
    </row>
    <row r="66" spans="1:13" ht="24" customHeight="1" x14ac:dyDescent="0.4">
      <c r="A66" s="128">
        <f>L66</f>
        <v>31.725000000000001</v>
      </c>
      <c r="B66" s="137" t="s">
        <v>70</v>
      </c>
      <c r="C66" s="77">
        <v>9120</v>
      </c>
      <c r="D66" s="68">
        <v>-28.2</v>
      </c>
      <c r="E66" s="72">
        <v>-44.6</v>
      </c>
      <c r="F66" s="74">
        <v>-36</v>
      </c>
      <c r="G66" s="72">
        <v>-27.3</v>
      </c>
      <c r="H66" s="68">
        <v>-25.7</v>
      </c>
      <c r="I66" s="74">
        <v>-3.3</v>
      </c>
      <c r="J66" s="72">
        <v>-50.2</v>
      </c>
      <c r="K66" s="122">
        <v>-3.7</v>
      </c>
      <c r="L66" s="118">
        <f xml:space="preserve"> D$1 * (-D66) + E$1 * (-E66) + F$1 * (-F66) + G$1 * (-G66) + H$1 * (-H66) + I$1 * (-I66) + J$1 * (-J66) + K$1 * (-K66)</f>
        <v>31.725000000000001</v>
      </c>
      <c r="M66" s="113"/>
    </row>
    <row r="67" spans="1:13" ht="24" customHeight="1" x14ac:dyDescent="0.4">
      <c r="A67" s="128">
        <f>L67</f>
        <v>31.53</v>
      </c>
      <c r="B67" s="137" t="s">
        <v>96</v>
      </c>
      <c r="C67" s="77" t="s">
        <v>159</v>
      </c>
      <c r="D67" s="68">
        <v>-28</v>
      </c>
      <c r="E67" s="72">
        <v>-43.3</v>
      </c>
      <c r="F67" s="74">
        <v>-35.1</v>
      </c>
      <c r="G67" s="72">
        <v>-28.1</v>
      </c>
      <c r="H67" s="68">
        <v>-26</v>
      </c>
      <c r="I67" s="74">
        <v>-4.5999999999999996</v>
      </c>
      <c r="J67" s="72">
        <v>-52.3</v>
      </c>
      <c r="K67" s="122">
        <v>-3.5</v>
      </c>
      <c r="L67" s="118">
        <f xml:space="preserve"> D$1 * (-D67) + E$1 * (-E67) + F$1 * (-F67) + G$1 * (-G67) + H$1 * (-H67) + I$1 * (-I67) + J$1 * (-J67) + K$1 * (-K67)</f>
        <v>31.53</v>
      </c>
      <c r="M67" s="113"/>
    </row>
    <row r="68" spans="1:13" ht="24" customHeight="1" x14ac:dyDescent="0.4">
      <c r="A68" s="128">
        <f>L68</f>
        <v>31.474999999999998</v>
      </c>
      <c r="B68" s="133" t="s">
        <v>199</v>
      </c>
      <c r="C68" s="77">
        <v>9120</v>
      </c>
      <c r="D68" s="68">
        <v>-24.8</v>
      </c>
      <c r="E68" s="72">
        <v>-46.3</v>
      </c>
      <c r="F68" s="74">
        <v>-35.200000000000003</v>
      </c>
      <c r="G68" s="72">
        <v>-37.6</v>
      </c>
      <c r="H68" s="68">
        <v>-22.7</v>
      </c>
      <c r="I68" s="74">
        <v>2.5</v>
      </c>
      <c r="J68" s="72">
        <v>-55</v>
      </c>
      <c r="K68" s="122">
        <v>-2.7</v>
      </c>
      <c r="L68" s="118">
        <f xml:space="preserve"> D$1 * (-D68) + E$1 * (-E68) + F$1 * (-F68) + G$1 * (-G68) + H$1 * (-H68) + I$1 * (-I68) + J$1 * (-J68) + K$1 * (-K68)</f>
        <v>31.474999999999998</v>
      </c>
      <c r="M68" s="113"/>
    </row>
    <row r="69" spans="1:13" ht="24" customHeight="1" x14ac:dyDescent="0.4">
      <c r="A69" s="128">
        <f>L69</f>
        <v>30.749000000000002</v>
      </c>
      <c r="B69" s="134" t="s">
        <v>177</v>
      </c>
      <c r="C69" s="77">
        <v>9120</v>
      </c>
      <c r="D69" s="68">
        <v>-25.5</v>
      </c>
      <c r="E69" s="72">
        <v>-42.4</v>
      </c>
      <c r="F69" s="74">
        <v>-37</v>
      </c>
      <c r="G69" s="72">
        <v>-34.6</v>
      </c>
      <c r="H69" s="68">
        <v>-23.3</v>
      </c>
      <c r="I69" s="74">
        <v>3.4</v>
      </c>
      <c r="J69" s="72">
        <v>-51.2</v>
      </c>
      <c r="K69" s="122">
        <v>-4</v>
      </c>
      <c r="L69" s="118">
        <f xml:space="preserve"> D$1 * (-D69) + E$1 * (-E69) + F$1 * (-F69) + G$1 * (-G69) + H$1 * (-H69) + I$1 * (-I69) + J$1 * (-J69) + K$1 * (-K69)</f>
        <v>30.749000000000002</v>
      </c>
      <c r="M69" s="113"/>
    </row>
    <row r="70" spans="1:13" ht="24" customHeight="1" x14ac:dyDescent="0.4">
      <c r="A70" s="128">
        <f>L70</f>
        <v>30.484999999999999</v>
      </c>
      <c r="B70" s="134" t="s">
        <v>179</v>
      </c>
      <c r="C70" s="77">
        <v>9120</v>
      </c>
      <c r="D70" s="68">
        <v>-27</v>
      </c>
      <c r="E70" s="72">
        <v>-40.200000000000003</v>
      </c>
      <c r="F70" s="74">
        <v>-35.6</v>
      </c>
      <c r="G70" s="72">
        <v>-33.1</v>
      </c>
      <c r="H70" s="68">
        <v>-25.1</v>
      </c>
      <c r="I70" s="74">
        <v>5.7</v>
      </c>
      <c r="J70" s="72">
        <v>-49</v>
      </c>
      <c r="K70" s="122">
        <v>-8.6</v>
      </c>
      <c r="L70" s="118">
        <f xml:space="preserve"> D$1 * (-D70) + E$1 * (-E70) + F$1 * (-F70) + G$1 * (-G70) + H$1 * (-H70) + I$1 * (-I70) + J$1 * (-J70) + K$1 * (-K70)</f>
        <v>30.484999999999999</v>
      </c>
      <c r="M70" s="113" t="s">
        <v>198</v>
      </c>
    </row>
    <row r="71" spans="1:13" ht="24" customHeight="1" x14ac:dyDescent="0.4">
      <c r="A71" s="128">
        <f>L71</f>
        <v>30.017000000000007</v>
      </c>
      <c r="B71" s="137" t="s">
        <v>89</v>
      </c>
      <c r="C71" s="77">
        <v>6190</v>
      </c>
      <c r="D71" s="68">
        <v>-26.1</v>
      </c>
      <c r="E71" s="72">
        <v>-39.9</v>
      </c>
      <c r="F71" s="74">
        <v>-37.5</v>
      </c>
      <c r="G71" s="72">
        <v>-28.5</v>
      </c>
      <c r="H71" s="68">
        <v>-24</v>
      </c>
      <c r="I71" s="74">
        <v>-1</v>
      </c>
      <c r="J71" s="72">
        <v>-48.5</v>
      </c>
      <c r="K71" s="122">
        <v>-1.6</v>
      </c>
      <c r="L71" s="118">
        <f xml:space="preserve"> D$1 * (-D71) + E$1 * (-E71) + F$1 * (-F71) + G$1 * (-G71) + H$1 * (-H71) + I$1 * (-I71) + J$1 * (-J71) + K$1 * (-K71)</f>
        <v>30.017000000000007</v>
      </c>
      <c r="M71" s="113"/>
    </row>
    <row r="72" spans="1:13" ht="24" customHeight="1" x14ac:dyDescent="0.4">
      <c r="A72" s="128">
        <f>L72</f>
        <v>29.983000000000001</v>
      </c>
      <c r="B72" s="137" t="s">
        <v>74</v>
      </c>
      <c r="C72" s="77">
        <v>6190</v>
      </c>
      <c r="D72" s="68">
        <v>-26.3</v>
      </c>
      <c r="E72" s="72">
        <v>-40.799999999999997</v>
      </c>
      <c r="F72" s="74">
        <v>-34.5</v>
      </c>
      <c r="G72" s="72">
        <v>-29.7</v>
      </c>
      <c r="H72" s="68">
        <v>-23.4</v>
      </c>
      <c r="I72" s="74">
        <v>-0.7</v>
      </c>
      <c r="J72" s="72">
        <v>-49.6</v>
      </c>
      <c r="K72" s="122">
        <v>-4.3</v>
      </c>
      <c r="L72" s="118">
        <f xml:space="preserve"> D$1 * (-D72) + E$1 * (-E72) + F$1 * (-F72) + G$1 * (-G72) + H$1 * (-H72) + I$1 * (-I72) + J$1 * (-J72) + K$1 * (-K72)</f>
        <v>29.983000000000001</v>
      </c>
      <c r="M72" s="113"/>
    </row>
    <row r="73" spans="1:13" ht="24" customHeight="1" x14ac:dyDescent="0.4">
      <c r="A73" s="128">
        <f>L73</f>
        <v>29.749000000000002</v>
      </c>
      <c r="B73" s="137" t="s">
        <v>74</v>
      </c>
      <c r="C73" s="77">
        <v>9120</v>
      </c>
      <c r="D73" s="68">
        <v>-26.3</v>
      </c>
      <c r="E73" s="72">
        <v>-40.6</v>
      </c>
      <c r="F73" s="74">
        <v>-34.5</v>
      </c>
      <c r="G73" s="72">
        <v>-28.1</v>
      </c>
      <c r="H73" s="68">
        <v>-23.1</v>
      </c>
      <c r="I73" s="74">
        <v>-0.7</v>
      </c>
      <c r="J73" s="72">
        <v>-49.6</v>
      </c>
      <c r="K73" s="122">
        <v>-3.8</v>
      </c>
      <c r="L73" s="118">
        <f xml:space="preserve"> D$1 * (-D73) + E$1 * (-E73) + F$1 * (-F73) + G$1 * (-G73) + H$1 * (-H73) + I$1 * (-I73) + J$1 * (-J73) + K$1 * (-K73)</f>
        <v>29.749000000000002</v>
      </c>
      <c r="M73" s="113"/>
    </row>
    <row r="74" spans="1:13" ht="24" customHeight="1" x14ac:dyDescent="0.4">
      <c r="A74" s="128">
        <f>L74</f>
        <v>29.742000000000001</v>
      </c>
      <c r="B74" s="133" t="s">
        <v>175</v>
      </c>
      <c r="C74" s="77">
        <v>6190</v>
      </c>
      <c r="D74" s="68">
        <v>-25.9</v>
      </c>
      <c r="E74" s="72">
        <v>-41.9</v>
      </c>
      <c r="F74" s="74">
        <v>-33.1</v>
      </c>
      <c r="G74" s="72">
        <v>-29.4</v>
      </c>
      <c r="H74" s="68">
        <v>-23.5</v>
      </c>
      <c r="I74" s="74">
        <v>0.4</v>
      </c>
      <c r="J74" s="72">
        <v>-49.6</v>
      </c>
      <c r="K74" s="122">
        <v>-2.6</v>
      </c>
      <c r="L74" s="118">
        <f xml:space="preserve"> D$1 * (-D74) + E$1 * (-E74) + F$1 * (-F74) + G$1 * (-G74) + H$1 * (-H74) + I$1 * (-I74) + J$1 * (-J74) + K$1 * (-K74)</f>
        <v>29.742000000000001</v>
      </c>
      <c r="M74" s="113"/>
    </row>
    <row r="75" spans="1:13" ht="24" customHeight="1" x14ac:dyDescent="0.4">
      <c r="A75" s="128">
        <f>L75</f>
        <v>28.883000000000003</v>
      </c>
      <c r="B75" s="137" t="s">
        <v>89</v>
      </c>
      <c r="C75" s="77">
        <v>9120</v>
      </c>
      <c r="D75" s="68">
        <v>-24.9</v>
      </c>
      <c r="E75" s="72">
        <v>-37.4</v>
      </c>
      <c r="F75" s="74">
        <v>-37.5</v>
      </c>
      <c r="G75" s="72">
        <v>-28</v>
      </c>
      <c r="H75" s="68">
        <v>-22.3</v>
      </c>
      <c r="I75" s="74">
        <v>-1</v>
      </c>
      <c r="J75" s="72">
        <v>-48.5</v>
      </c>
      <c r="K75" s="122">
        <v>-0.2</v>
      </c>
      <c r="L75" s="118">
        <f xml:space="preserve"> D$1 * (-D75) + E$1 * (-E75) + F$1 * (-F75) + G$1 * (-G75) + H$1 * (-H75) + I$1 * (-I75) + J$1 * (-J75) + K$1 * (-K75)</f>
        <v>28.883000000000003</v>
      </c>
      <c r="M75" s="113"/>
    </row>
    <row r="76" spans="1:13" ht="24" customHeight="1" x14ac:dyDescent="0.4">
      <c r="A76" s="128">
        <f>L76</f>
        <v>28.699000000000002</v>
      </c>
      <c r="B76" s="133" t="s">
        <v>175</v>
      </c>
      <c r="C76" s="77">
        <v>9120</v>
      </c>
      <c r="D76" s="68">
        <v>-24.6</v>
      </c>
      <c r="E76" s="72">
        <v>-40.5</v>
      </c>
      <c r="F76" s="74">
        <v>-33.1</v>
      </c>
      <c r="G76" s="72">
        <v>-28.1</v>
      </c>
      <c r="H76" s="68">
        <v>-21.7</v>
      </c>
      <c r="I76" s="74">
        <v>0.4</v>
      </c>
      <c r="J76" s="72">
        <v>-49.6</v>
      </c>
      <c r="K76" s="122">
        <v>-0.9</v>
      </c>
      <c r="L76" s="118">
        <f xml:space="preserve"> D$1 * (-D76) + E$1 * (-E76) + F$1 * (-F76) + G$1 * (-G76) + H$1 * (-H76) + I$1 * (-I76) + J$1 * (-J76) + K$1 * (-K76)</f>
        <v>28.699000000000002</v>
      </c>
      <c r="M76" s="113"/>
    </row>
    <row r="77" spans="1:13" ht="24" customHeight="1" x14ac:dyDescent="0.4">
      <c r="A77" s="128">
        <f>L77</f>
        <v>28.425999999999995</v>
      </c>
      <c r="B77" s="133" t="s">
        <v>150</v>
      </c>
      <c r="C77" s="77" t="s">
        <v>149</v>
      </c>
      <c r="D77" s="68">
        <v>-24</v>
      </c>
      <c r="E77" s="72">
        <v>-38.799999999999997</v>
      </c>
      <c r="F77" s="74">
        <v>-33</v>
      </c>
      <c r="G77" s="72">
        <v>-28.5</v>
      </c>
      <c r="H77" s="68">
        <v>-21.3</v>
      </c>
      <c r="I77" s="74">
        <v>-0.4</v>
      </c>
      <c r="J77" s="72">
        <v>-54.4</v>
      </c>
      <c r="K77" s="122">
        <v>-1.1000000000000001</v>
      </c>
      <c r="L77" s="118">
        <f xml:space="preserve"> D$1 * (-D77) + E$1 * (-E77) + F$1 * (-F77) + G$1 * (-G77) + H$1 * (-H77) + I$1 * (-I77) + J$1 * (-J77) + K$1 * (-K77)</f>
        <v>28.425999999999995</v>
      </c>
      <c r="M77" s="113"/>
    </row>
    <row r="78" spans="1:13" ht="24" customHeight="1" x14ac:dyDescent="0.4">
      <c r="A78" s="128">
        <f>L78</f>
        <v>27.619000000000003</v>
      </c>
      <c r="B78" s="137" t="s">
        <v>148</v>
      </c>
      <c r="C78" s="77" t="s">
        <v>149</v>
      </c>
      <c r="D78" s="68">
        <v>-23.3</v>
      </c>
      <c r="E78" s="72">
        <v>-39.299999999999997</v>
      </c>
      <c r="F78" s="74">
        <v>-27.6</v>
      </c>
      <c r="G78" s="72">
        <v>-31.8</v>
      </c>
      <c r="H78" s="68">
        <v>-21.8</v>
      </c>
      <c r="I78" s="74">
        <v>-3.8</v>
      </c>
      <c r="J78" s="72">
        <v>-44.2</v>
      </c>
      <c r="K78" s="122">
        <v>-7</v>
      </c>
      <c r="L78" s="118">
        <f xml:space="preserve"> D$1 * (-D78) + E$1 * (-E78) + F$1 * (-F78) + G$1 * (-G78) + H$1 * (-H78) + I$1 * (-I78) + J$1 * (-J78) + K$1 * (-K78)</f>
        <v>27.619000000000003</v>
      </c>
      <c r="M78" s="113"/>
    </row>
    <row r="79" spans="1:13" ht="24" customHeight="1" x14ac:dyDescent="0.4">
      <c r="A79" s="128">
        <f>L79</f>
        <v>27.293999999999997</v>
      </c>
      <c r="B79" s="133" t="s">
        <v>97</v>
      </c>
      <c r="C79" s="77">
        <v>9120</v>
      </c>
      <c r="D79" s="68">
        <v>-22.8</v>
      </c>
      <c r="E79" s="72">
        <v>-36.5</v>
      </c>
      <c r="F79" s="74">
        <v>-33</v>
      </c>
      <c r="G79" s="72">
        <v>-27.4</v>
      </c>
      <c r="H79" s="68">
        <v>-19.899999999999999</v>
      </c>
      <c r="I79" s="74">
        <v>-0.4</v>
      </c>
      <c r="J79" s="72">
        <v>-54.4</v>
      </c>
      <c r="K79" s="122">
        <v>0.4</v>
      </c>
      <c r="L79" s="118">
        <f xml:space="preserve"> D$1 * (-D79) + E$1 * (-E79) + F$1 * (-F79) + G$1 * (-G79) + H$1 * (-H79) + I$1 * (-I79) + J$1 * (-J79) + K$1 * (-K79)</f>
        <v>27.293999999999997</v>
      </c>
      <c r="M79" s="113"/>
    </row>
    <row r="80" spans="1:13" ht="24" customHeight="1" x14ac:dyDescent="0.4">
      <c r="A80" s="128">
        <f>L80</f>
        <v>26.467000000000002</v>
      </c>
      <c r="B80" s="137" t="s">
        <v>188</v>
      </c>
      <c r="C80" s="77">
        <v>6190</v>
      </c>
      <c r="D80" s="68">
        <v>-23.5</v>
      </c>
      <c r="E80" s="72">
        <v>-36.700000000000003</v>
      </c>
      <c r="F80" s="74">
        <v>-28.1</v>
      </c>
      <c r="G80" s="72">
        <v>-27.3</v>
      </c>
      <c r="H80" s="68">
        <v>-21.4</v>
      </c>
      <c r="I80" s="74">
        <v>-0.4</v>
      </c>
      <c r="J80" s="72">
        <v>-44.5</v>
      </c>
      <c r="K80" s="122">
        <v>0</v>
      </c>
      <c r="L80" s="118">
        <f xml:space="preserve"> D$1 * (-D80) + E$1 * (-E80) + F$1 * (-F80) + G$1 * (-G80) + H$1 * (-H80) + I$1 * (-I80) + J$1 * (-J80) + K$1 * (-K80)</f>
        <v>26.467000000000002</v>
      </c>
      <c r="M80" s="113" t="s">
        <v>195</v>
      </c>
    </row>
    <row r="81" spans="1:13" ht="24" customHeight="1" x14ac:dyDescent="0.4">
      <c r="A81" s="128">
        <f>L81</f>
        <v>25.555</v>
      </c>
      <c r="B81" s="136" t="s">
        <v>99</v>
      </c>
      <c r="C81" s="77">
        <v>9120</v>
      </c>
      <c r="D81" s="68">
        <v>-21.3</v>
      </c>
      <c r="E81" s="72">
        <v>-37.9</v>
      </c>
      <c r="F81" s="74">
        <v>-30.5</v>
      </c>
      <c r="G81" s="72">
        <v>-25</v>
      </c>
      <c r="H81" s="68">
        <v>-18.8</v>
      </c>
      <c r="I81" s="74">
        <v>5</v>
      </c>
      <c r="J81" s="72">
        <v>-43.9</v>
      </c>
      <c r="K81" s="122">
        <v>0.2</v>
      </c>
      <c r="L81" s="118">
        <f xml:space="preserve"> D$1 * (-D81) + E$1 * (-E81) + F$1 * (-F81) + G$1 * (-G81) + H$1 * (-H81) + I$1 * (-I81) + J$1 * (-J81) + K$1 * (-K81)</f>
        <v>25.555</v>
      </c>
      <c r="M81" s="113"/>
    </row>
    <row r="82" spans="1:13" ht="24" customHeight="1" x14ac:dyDescent="0.4">
      <c r="A82" s="128">
        <f>L82</f>
        <v>25.204999999999998</v>
      </c>
      <c r="B82" s="136" t="s">
        <v>151</v>
      </c>
      <c r="C82" s="77">
        <v>6190</v>
      </c>
      <c r="D82" s="68">
        <v>-21.7</v>
      </c>
      <c r="E82" s="72">
        <v>-34.9</v>
      </c>
      <c r="F82" s="74">
        <v>-30.5</v>
      </c>
      <c r="G82" s="72">
        <v>-24.9</v>
      </c>
      <c r="H82" s="68">
        <v>-19.899999999999999</v>
      </c>
      <c r="I82" s="74">
        <v>5</v>
      </c>
      <c r="J82" s="72">
        <v>-43.9</v>
      </c>
      <c r="K82" s="122">
        <v>-1.4</v>
      </c>
      <c r="L82" s="118">
        <f xml:space="preserve"> D$1 * (-D82) + E$1 * (-E82) + F$1 * (-F82) + G$1 * (-G82) + H$1 * (-H82) + I$1 * (-I82) + J$1 * (-J82) + K$1 * (-K82)</f>
        <v>25.204999999999998</v>
      </c>
      <c r="M82" s="113"/>
    </row>
    <row r="83" spans="1:13" ht="24" customHeight="1" x14ac:dyDescent="0.4">
      <c r="A83" s="128">
        <f>L83</f>
        <v>25.062000000000005</v>
      </c>
      <c r="B83" s="137" t="s">
        <v>101</v>
      </c>
      <c r="C83" s="77">
        <v>9120</v>
      </c>
      <c r="D83" s="68">
        <v>-21.6</v>
      </c>
      <c r="E83" s="72">
        <v>-35.200000000000003</v>
      </c>
      <c r="F83" s="74">
        <v>-28.1</v>
      </c>
      <c r="G83" s="72">
        <v>-24.6</v>
      </c>
      <c r="H83" s="68">
        <v>-19.600000000000001</v>
      </c>
      <c r="I83" s="74">
        <v>-0.4</v>
      </c>
      <c r="J83" s="72">
        <v>-44.5</v>
      </c>
      <c r="K83" s="122">
        <v>1.3</v>
      </c>
      <c r="L83" s="118">
        <f xml:space="preserve"> D$1 * (-D83) + E$1 * (-E83) + F$1 * (-F83) + G$1 * (-G83) + H$1 * (-H83) + I$1 * (-I83) + J$1 * (-J83) + K$1 * (-K83)</f>
        <v>25.062000000000005</v>
      </c>
      <c r="M83" s="113"/>
    </row>
    <row r="84" spans="1:13" ht="24" customHeight="1" x14ac:dyDescent="0.4">
      <c r="A84" s="128">
        <f>L84</f>
        <v>25.059000000000001</v>
      </c>
      <c r="B84" s="133" t="s">
        <v>174</v>
      </c>
      <c r="C84" s="77">
        <v>6190</v>
      </c>
      <c r="D84" s="68">
        <v>-17.399999999999999</v>
      </c>
      <c r="E84" s="72">
        <v>-38.799999999999997</v>
      </c>
      <c r="F84" s="74">
        <v>-30.7</v>
      </c>
      <c r="G84" s="72">
        <v>-29.6</v>
      </c>
      <c r="H84" s="68">
        <v>-16.399999999999999</v>
      </c>
      <c r="I84" s="74">
        <v>4.0999999999999996</v>
      </c>
      <c r="J84" s="72">
        <v>-51.1</v>
      </c>
      <c r="K84" s="122">
        <v>0.9</v>
      </c>
      <c r="L84" s="118">
        <f xml:space="preserve"> D$1 * (-D84) + E$1 * (-E84) + F$1 * (-F84) + G$1 * (-G84) + H$1 * (-H84) + I$1 * (-I84) + J$1 * (-J84) + K$1 * (-K84)</f>
        <v>25.059000000000001</v>
      </c>
      <c r="M84" s="113"/>
    </row>
    <row r="85" spans="1:13" ht="24" customHeight="1" x14ac:dyDescent="0.4">
      <c r="A85" s="128">
        <f>L85</f>
        <v>24.911000000000001</v>
      </c>
      <c r="B85" s="133" t="s">
        <v>184</v>
      </c>
      <c r="C85" s="77">
        <v>6190</v>
      </c>
      <c r="D85" s="68">
        <v>-18.8</v>
      </c>
      <c r="E85" s="72">
        <v>-37</v>
      </c>
      <c r="F85" s="74">
        <v>-29.9</v>
      </c>
      <c r="G85" s="72">
        <v>-27</v>
      </c>
      <c r="H85" s="68">
        <v>-17.2</v>
      </c>
      <c r="I85" s="74">
        <v>2.2999999999999998</v>
      </c>
      <c r="J85" s="72">
        <v>-49.7</v>
      </c>
      <c r="K85" s="122">
        <v>0</v>
      </c>
      <c r="L85" s="118">
        <f xml:space="preserve"> D$1 * (-D85) + E$1 * (-E85) + F$1 * (-F85) + G$1 * (-G85) + H$1 * (-H85) + I$1 * (-I85) + J$1 * (-J85) + K$1 * (-K85)</f>
        <v>24.911000000000001</v>
      </c>
      <c r="M85" s="113"/>
    </row>
    <row r="86" spans="1:13" ht="24" customHeight="1" x14ac:dyDescent="0.4">
      <c r="A86" s="128">
        <f>L86</f>
        <v>24.633000000000003</v>
      </c>
      <c r="B86" s="133" t="s">
        <v>174</v>
      </c>
      <c r="C86" s="77">
        <v>9120</v>
      </c>
      <c r="D86" s="68">
        <v>-17</v>
      </c>
      <c r="E86" s="72">
        <v>-38.1</v>
      </c>
      <c r="F86" s="74">
        <v>-30.7</v>
      </c>
      <c r="G86" s="72">
        <v>-29.4</v>
      </c>
      <c r="H86" s="68">
        <v>-15.1</v>
      </c>
      <c r="I86" s="74">
        <v>4.0999999999999996</v>
      </c>
      <c r="J86" s="72">
        <v>-51.1</v>
      </c>
      <c r="K86" s="122">
        <v>2</v>
      </c>
      <c r="L86" s="118">
        <f xml:space="preserve"> D$1 * (-D86) + E$1 * (-E86) + F$1 * (-F86) + G$1 * (-G86) + H$1 * (-H86) + I$1 * (-I86) + J$1 * (-J86) + K$1 * (-K86)</f>
        <v>24.633000000000003</v>
      </c>
      <c r="M86" s="113"/>
    </row>
    <row r="87" spans="1:13" ht="24" customHeight="1" x14ac:dyDescent="0.4">
      <c r="A87" s="128">
        <f>L87</f>
        <v>24.227</v>
      </c>
      <c r="B87" s="133" t="s">
        <v>171</v>
      </c>
      <c r="C87" s="77">
        <v>6190</v>
      </c>
      <c r="D87" s="68">
        <v>-16</v>
      </c>
      <c r="E87" s="72">
        <v>-38.1</v>
      </c>
      <c r="F87" s="74">
        <v>-29.7</v>
      </c>
      <c r="G87" s="72">
        <v>-30.2</v>
      </c>
      <c r="H87" s="68">
        <v>-15.1</v>
      </c>
      <c r="I87" s="74">
        <v>6</v>
      </c>
      <c r="J87" s="72">
        <v>-52.8</v>
      </c>
      <c r="K87" s="122">
        <v>0.8</v>
      </c>
      <c r="L87" s="118">
        <f xml:space="preserve"> D$1 * (-D87) + E$1 * (-E87) + F$1 * (-F87) + G$1 * (-G87) + H$1 * (-H87) + I$1 * (-I87) + J$1 * (-J87) + K$1 * (-K87)</f>
        <v>24.227</v>
      </c>
      <c r="M87" s="113"/>
    </row>
    <row r="88" spans="1:13" ht="24" customHeight="1" x14ac:dyDescent="0.4">
      <c r="A88" s="128">
        <f>L88</f>
        <v>23.795000000000005</v>
      </c>
      <c r="B88" s="133" t="s">
        <v>98</v>
      </c>
      <c r="C88" s="77">
        <v>9120</v>
      </c>
      <c r="D88" s="68">
        <v>-17.600000000000001</v>
      </c>
      <c r="E88" s="72">
        <v>-34.700000000000003</v>
      </c>
      <c r="F88" s="74">
        <v>-29.9</v>
      </c>
      <c r="G88" s="72">
        <v>-26.2</v>
      </c>
      <c r="H88" s="68">
        <v>-15.6</v>
      </c>
      <c r="I88" s="74">
        <v>2.2999999999999998</v>
      </c>
      <c r="J88" s="72">
        <v>-49.7</v>
      </c>
      <c r="K88" s="122">
        <v>1.4</v>
      </c>
      <c r="L88" s="118">
        <f xml:space="preserve"> D$1 * (-D88) + E$1 * (-E88) + F$1 * (-F88) + G$1 * (-G88) + H$1 * (-H88) + I$1 * (-I88) + J$1 * (-J88) + K$1 * (-K88)</f>
        <v>23.795000000000005</v>
      </c>
      <c r="M88" s="113"/>
    </row>
    <row r="89" spans="1:13" ht="24" customHeight="1" x14ac:dyDescent="0.4">
      <c r="A89" s="128">
        <f>L89</f>
        <v>23.583000000000002</v>
      </c>
      <c r="B89" s="133" t="s">
        <v>171</v>
      </c>
      <c r="C89" s="77">
        <v>9120</v>
      </c>
      <c r="D89" s="68">
        <v>-15.6</v>
      </c>
      <c r="E89" s="72">
        <v>-36.4</v>
      </c>
      <c r="F89" s="74">
        <v>-29.7</v>
      </c>
      <c r="G89" s="72">
        <v>-30</v>
      </c>
      <c r="H89" s="68">
        <v>-13.6</v>
      </c>
      <c r="I89" s="74">
        <v>6</v>
      </c>
      <c r="J89" s="72">
        <v>-52.8</v>
      </c>
      <c r="K89" s="122">
        <v>2</v>
      </c>
      <c r="L89" s="118">
        <f xml:space="preserve"> D$1 * (-D89) + E$1 * (-E89) + F$1 * (-F89) + G$1 * (-G89) + H$1 * (-H89) + I$1 * (-I89) + J$1 * (-J89) + K$1 * (-K89)</f>
        <v>23.583000000000002</v>
      </c>
      <c r="M89" s="113"/>
    </row>
    <row r="90" spans="1:13" ht="24" customHeight="1" x14ac:dyDescent="0.4">
      <c r="A90" s="128">
        <f>L90</f>
        <v>23.117000000000001</v>
      </c>
      <c r="B90" s="134" t="s">
        <v>80</v>
      </c>
      <c r="C90" s="77">
        <v>6190</v>
      </c>
      <c r="D90" s="68">
        <v>-15.8</v>
      </c>
      <c r="E90" s="72">
        <v>-35.1</v>
      </c>
      <c r="F90" s="74">
        <v>-30.1</v>
      </c>
      <c r="G90" s="72">
        <v>-26</v>
      </c>
      <c r="H90" s="68">
        <v>-14.7</v>
      </c>
      <c r="I90" s="74">
        <v>5</v>
      </c>
      <c r="J90" s="72">
        <v>-51.6</v>
      </c>
      <c r="K90" s="122">
        <v>2.7</v>
      </c>
      <c r="L90" s="118">
        <f xml:space="preserve"> D$1 * (-D90) + E$1 * (-E90) + F$1 * (-F90) + G$1 * (-G90) + H$1 * (-H90) + I$1 * (-I90) + J$1 * (-J90) + K$1 * (-K90)</f>
        <v>23.117000000000001</v>
      </c>
      <c r="M90" s="113"/>
    </row>
    <row r="91" spans="1:13" ht="24" customHeight="1" x14ac:dyDescent="0.4">
      <c r="A91" s="128">
        <f>L91</f>
        <v>22.686000000000003</v>
      </c>
      <c r="B91" s="134" t="s">
        <v>80</v>
      </c>
      <c r="C91" s="77">
        <v>9120</v>
      </c>
      <c r="D91" s="68">
        <v>-14.5</v>
      </c>
      <c r="E91" s="72">
        <v>-35.9</v>
      </c>
      <c r="F91" s="74">
        <v>-30.1</v>
      </c>
      <c r="G91" s="72">
        <v>-26</v>
      </c>
      <c r="H91" s="68">
        <v>-13.3</v>
      </c>
      <c r="I91" s="74">
        <v>5</v>
      </c>
      <c r="J91" s="72">
        <v>-51.6</v>
      </c>
      <c r="K91" s="122">
        <v>3.9</v>
      </c>
      <c r="L91" s="118">
        <f xml:space="preserve"> D$1 * (-D91) + E$1 * (-E91) + F$1 * (-F91) + G$1 * (-G91) + H$1 * (-H91) + I$1 * (-I91) + J$1 * (-J91) + K$1 * (-K91)</f>
        <v>22.686000000000003</v>
      </c>
      <c r="M91" s="113"/>
    </row>
    <row r="92" spans="1:13" ht="24" customHeight="1" x14ac:dyDescent="0.4">
      <c r="A92" s="128">
        <f>L92</f>
        <v>22.681999999999999</v>
      </c>
      <c r="B92" s="137" t="s">
        <v>68</v>
      </c>
      <c r="C92" s="77">
        <v>6190</v>
      </c>
      <c r="D92" s="68">
        <v>-19.100000000000001</v>
      </c>
      <c r="E92" s="72">
        <v>-33</v>
      </c>
      <c r="F92" s="74">
        <v>-27.5</v>
      </c>
      <c r="G92" s="72">
        <v>-21.6</v>
      </c>
      <c r="H92" s="68">
        <v>-16.600000000000001</v>
      </c>
      <c r="I92" s="74">
        <v>4.2</v>
      </c>
      <c r="J92" s="72">
        <v>-41.4</v>
      </c>
      <c r="K92" s="122">
        <v>3.8</v>
      </c>
      <c r="L92" s="118">
        <f xml:space="preserve"> D$1 * (-D92) + E$1 * (-E92) + F$1 * (-F92) + G$1 * (-G92) + H$1 * (-H92) + I$1 * (-I92) + J$1 * (-J92) + K$1 * (-K92)</f>
        <v>22.681999999999999</v>
      </c>
      <c r="M92" s="113"/>
    </row>
    <row r="93" spans="1:13" ht="24" customHeight="1" x14ac:dyDescent="0.4">
      <c r="A93" s="128">
        <f>L93</f>
        <v>22.489000000000001</v>
      </c>
      <c r="B93" s="134" t="s">
        <v>178</v>
      </c>
      <c r="C93" s="77">
        <v>9120</v>
      </c>
      <c r="D93" s="68">
        <v>-16.3</v>
      </c>
      <c r="E93" s="72">
        <v>-35.6</v>
      </c>
      <c r="F93" s="74">
        <v>-27</v>
      </c>
      <c r="G93" s="72">
        <v>-25.2</v>
      </c>
      <c r="H93" s="68">
        <v>-14.4</v>
      </c>
      <c r="I93" s="74">
        <v>7.8</v>
      </c>
      <c r="J93" s="72">
        <v>-47.8</v>
      </c>
      <c r="K93" s="122">
        <v>2.9</v>
      </c>
      <c r="L93" s="118">
        <f xml:space="preserve"> D$1 * (-D93) + E$1 * (-E93) + F$1 * (-F93) + G$1 * (-G93) + H$1 * (-H93) + I$1 * (-I93) + J$1 * (-J93) + K$1 * (-K93)</f>
        <v>22.489000000000001</v>
      </c>
      <c r="M93" s="113"/>
    </row>
    <row r="94" spans="1:13" ht="24" customHeight="1" x14ac:dyDescent="0.4">
      <c r="A94" s="128">
        <f>L94</f>
        <v>21.723000000000006</v>
      </c>
      <c r="B94" s="137" t="s">
        <v>66</v>
      </c>
      <c r="C94" s="77">
        <v>6190</v>
      </c>
      <c r="D94" s="68">
        <v>-16</v>
      </c>
      <c r="E94" s="72">
        <v>-35.1</v>
      </c>
      <c r="F94" s="74">
        <v>-25.1</v>
      </c>
      <c r="G94" s="72">
        <v>-23.3</v>
      </c>
      <c r="H94" s="68">
        <v>-14.8</v>
      </c>
      <c r="I94" s="74">
        <v>5.3</v>
      </c>
      <c r="J94" s="72">
        <v>-43.5</v>
      </c>
      <c r="K94" s="122">
        <v>4.3</v>
      </c>
      <c r="L94" s="118">
        <f xml:space="preserve"> D$1 * (-D94) + E$1 * (-E94) + F$1 * (-F94) + G$1 * (-G94) + H$1 * (-H94) + I$1 * (-I94) + J$1 * (-J94) + K$1 * (-K94)</f>
        <v>21.723000000000006</v>
      </c>
      <c r="M94" s="113"/>
    </row>
    <row r="95" spans="1:13" ht="24" customHeight="1" x14ac:dyDescent="0.4">
      <c r="A95" s="128">
        <f>L95</f>
        <v>21.343000000000004</v>
      </c>
      <c r="B95" s="134" t="s">
        <v>196</v>
      </c>
      <c r="C95" s="77">
        <v>9120</v>
      </c>
      <c r="D95" s="68">
        <v>-12.3</v>
      </c>
      <c r="E95" s="72">
        <v>-37.9</v>
      </c>
      <c r="F95" s="74">
        <v>-29.2</v>
      </c>
      <c r="G95" s="72">
        <v>-25.1</v>
      </c>
      <c r="H95" s="68">
        <v>-11.2</v>
      </c>
      <c r="I95" s="74">
        <v>13.9</v>
      </c>
      <c r="J95" s="72">
        <v>-48.3</v>
      </c>
      <c r="K95" s="122">
        <v>2.4</v>
      </c>
      <c r="L95" s="118">
        <f xml:space="preserve"> D$1 * (-D95) + E$1 * (-E95) + F$1 * (-F95) + G$1 * (-G95) + H$1 * (-H95) + I$1 * (-I95) + J$1 * (-J95) + K$1 * (-K95)</f>
        <v>21.343000000000004</v>
      </c>
      <c r="M95" s="113"/>
    </row>
    <row r="96" spans="1:13" ht="24" customHeight="1" x14ac:dyDescent="0.4">
      <c r="A96" s="128">
        <f>L96</f>
        <v>21.165000000000003</v>
      </c>
      <c r="B96" s="137" t="s">
        <v>66</v>
      </c>
      <c r="C96" s="77">
        <v>9120</v>
      </c>
      <c r="D96" s="68">
        <v>-15.8</v>
      </c>
      <c r="E96" s="72">
        <v>-33.700000000000003</v>
      </c>
      <c r="F96" s="74">
        <v>-25.1</v>
      </c>
      <c r="G96" s="72">
        <v>-22.3</v>
      </c>
      <c r="H96" s="68">
        <v>-13.6</v>
      </c>
      <c r="I96" s="74">
        <v>5.3</v>
      </c>
      <c r="J96" s="72">
        <v>-43.5</v>
      </c>
      <c r="K96" s="122">
        <v>4.9000000000000004</v>
      </c>
      <c r="L96" s="118">
        <f xml:space="preserve"> D$1 * (-D96) + E$1 * (-E96) + F$1 * (-F96) + G$1 * (-G96) + H$1 * (-H96) + I$1 * (-I96) + J$1 * (-J96) + K$1 * (-K96)</f>
        <v>21.165000000000003</v>
      </c>
      <c r="M96" s="113"/>
    </row>
    <row r="97" spans="1:13" ht="24" customHeight="1" x14ac:dyDescent="0.4">
      <c r="A97" s="128">
        <f>L97</f>
        <v>20.953999999999997</v>
      </c>
      <c r="B97" s="137" t="s">
        <v>68</v>
      </c>
      <c r="C97" s="77">
        <v>9120</v>
      </c>
      <c r="D97" s="68">
        <v>-17.3</v>
      </c>
      <c r="E97" s="72">
        <v>-29.4</v>
      </c>
      <c r="F97" s="74">
        <v>-27.5</v>
      </c>
      <c r="G97" s="72">
        <v>-19.7</v>
      </c>
      <c r="H97" s="68">
        <v>-14.6</v>
      </c>
      <c r="I97" s="74">
        <v>4.2</v>
      </c>
      <c r="J97" s="72">
        <v>-41.4</v>
      </c>
      <c r="K97" s="122">
        <v>5.2</v>
      </c>
      <c r="L97" s="118">
        <f xml:space="preserve"> D$1 * (-D97) + E$1 * (-E97) + F$1 * (-F97) + G$1 * (-G97) + H$1 * (-H97) + I$1 * (-I97) + J$1 * (-J97) + K$1 * (-K97)</f>
        <v>20.953999999999997</v>
      </c>
      <c r="M97" s="113"/>
    </row>
    <row r="98" spans="1:13" ht="24" customHeight="1" x14ac:dyDescent="0.4">
      <c r="A98" s="128">
        <f>L98</f>
        <v>19.346</v>
      </c>
      <c r="B98" s="137" t="s">
        <v>170</v>
      </c>
      <c r="C98" s="77">
        <v>6190</v>
      </c>
      <c r="D98" s="68">
        <v>-15.9</v>
      </c>
      <c r="E98" s="72">
        <v>-29.2</v>
      </c>
      <c r="F98" s="74">
        <v>-22.8</v>
      </c>
      <c r="G98" s="72">
        <v>-20</v>
      </c>
      <c r="H98" s="68">
        <v>-13.5</v>
      </c>
      <c r="I98" s="74">
        <v>5.6</v>
      </c>
      <c r="J98" s="72">
        <v>-36.5</v>
      </c>
      <c r="K98" s="122">
        <v>5.2</v>
      </c>
      <c r="L98" s="118">
        <f xml:space="preserve"> D$1 * (-D98) + E$1 * (-E98) + F$1 * (-F98) + G$1 * (-G98) + H$1 * (-H98) + I$1 * (-I98) + J$1 * (-J98) + K$1 * (-K98)</f>
        <v>19.346</v>
      </c>
      <c r="M98" s="113"/>
    </row>
    <row r="99" spans="1:13" ht="24" customHeight="1" x14ac:dyDescent="0.4">
      <c r="A99" s="128">
        <f>L99</f>
        <v>18.334</v>
      </c>
      <c r="B99" s="137" t="s">
        <v>170</v>
      </c>
      <c r="C99" s="77">
        <v>9120</v>
      </c>
      <c r="D99" s="68">
        <v>-14.3</v>
      </c>
      <c r="E99" s="72">
        <v>-28.3</v>
      </c>
      <c r="F99" s="74">
        <v>-22.8</v>
      </c>
      <c r="G99" s="72">
        <v>-18.899999999999999</v>
      </c>
      <c r="H99" s="68">
        <v>-11.8</v>
      </c>
      <c r="I99" s="74">
        <v>5.6</v>
      </c>
      <c r="J99" s="72">
        <v>-36.5</v>
      </c>
      <c r="K99" s="122">
        <v>6.5</v>
      </c>
      <c r="L99" s="118">
        <f xml:space="preserve"> D$1 * (-D99) + E$1 * (-E99) + F$1 * (-F99) + G$1 * (-G99) + H$1 * (-H99) + I$1 * (-I99) + J$1 * (-J99) + K$1 * (-K99)</f>
        <v>18.334</v>
      </c>
      <c r="M99" s="113"/>
    </row>
    <row r="100" spans="1:13" ht="24" customHeight="1" x14ac:dyDescent="0.4">
      <c r="A100" s="128">
        <f>L100</f>
        <v>17.483000000000001</v>
      </c>
      <c r="B100" s="137" t="s">
        <v>169</v>
      </c>
      <c r="C100" s="77">
        <v>6190</v>
      </c>
      <c r="D100" s="68">
        <v>-13.7</v>
      </c>
      <c r="E100" s="72">
        <v>-26.7</v>
      </c>
      <c r="F100" s="74">
        <v>-20.399999999999999</v>
      </c>
      <c r="G100" s="72">
        <v>-18.8</v>
      </c>
      <c r="H100" s="68">
        <v>-12.1</v>
      </c>
      <c r="I100" s="74">
        <v>9.9</v>
      </c>
      <c r="J100" s="72">
        <v>-41.5</v>
      </c>
      <c r="K100" s="122">
        <v>7</v>
      </c>
      <c r="L100" s="118">
        <f xml:space="preserve"> D$1 * (-D100) + E$1 * (-E100) + F$1 * (-F100) + G$1 * (-G100) + H$1 * (-H100) + I$1 * (-I100) + J$1 * (-J100) + K$1 * (-K100)</f>
        <v>17.483000000000001</v>
      </c>
      <c r="M100" s="113"/>
    </row>
    <row r="101" spans="1:13" ht="24" customHeight="1" x14ac:dyDescent="0.4">
      <c r="A101" s="128">
        <f>L101</f>
        <v>16.882999999999999</v>
      </c>
      <c r="B101" s="134" t="s">
        <v>197</v>
      </c>
      <c r="C101" s="77">
        <v>9120</v>
      </c>
      <c r="D101" s="68">
        <v>-7.6</v>
      </c>
      <c r="E101" s="72">
        <v>-31.5</v>
      </c>
      <c r="F101" s="74">
        <v>-25.3</v>
      </c>
      <c r="G101" s="72">
        <v>-23.2</v>
      </c>
      <c r="H101" s="68">
        <v>-6.6</v>
      </c>
      <c r="I101" s="74">
        <v>17.600000000000001</v>
      </c>
      <c r="J101" s="72">
        <v>-45</v>
      </c>
      <c r="K101" s="122">
        <v>4.5</v>
      </c>
      <c r="L101" s="118">
        <f xml:space="preserve"> D$1 * (-D101) + E$1 * (-E101) + F$1 * (-F101) + G$1 * (-G101) + H$1 * (-H101) + I$1 * (-I101) + J$1 * (-J101) + K$1 * (-K101)</f>
        <v>16.882999999999999</v>
      </c>
      <c r="M101" s="113"/>
    </row>
    <row r="102" spans="1:13" ht="24" customHeight="1" x14ac:dyDescent="0.4">
      <c r="A102" s="128">
        <f>L102</f>
        <v>16.152000000000001</v>
      </c>
      <c r="B102" s="137" t="s">
        <v>169</v>
      </c>
      <c r="C102" s="77">
        <v>9120</v>
      </c>
      <c r="D102" s="68">
        <v>-12.2</v>
      </c>
      <c r="E102" s="72">
        <v>-23.9</v>
      </c>
      <c r="F102" s="74">
        <v>-20.399999999999999</v>
      </c>
      <c r="G102" s="72">
        <v>-18.100000000000001</v>
      </c>
      <c r="H102" s="68">
        <v>-10.1</v>
      </c>
      <c r="I102" s="74">
        <v>9.9</v>
      </c>
      <c r="J102" s="72">
        <v>-41.5</v>
      </c>
      <c r="K102" s="122">
        <v>7.8</v>
      </c>
      <c r="L102" s="118">
        <f xml:space="preserve"> D$1 * (-D102) + E$1 * (-E102) + F$1 * (-F102) + G$1 * (-G102) + H$1 * (-H102) + I$1 * (-I102) + J$1 * (-J102) + K$1 * (-K102)</f>
        <v>16.152000000000001</v>
      </c>
      <c r="M102" s="113"/>
    </row>
    <row r="103" spans="1:13" ht="24" customHeight="1" x14ac:dyDescent="0.4">
      <c r="A103" s="128">
        <f>L103</f>
        <v>15.933000000000002</v>
      </c>
      <c r="B103" s="133" t="s">
        <v>176</v>
      </c>
      <c r="C103" s="77">
        <v>6190</v>
      </c>
      <c r="D103" s="68">
        <v>-9.1999999999999993</v>
      </c>
      <c r="E103" s="72">
        <v>-26.9</v>
      </c>
      <c r="F103" s="74">
        <v>-21.6</v>
      </c>
      <c r="G103" s="72">
        <v>-19.100000000000001</v>
      </c>
      <c r="H103" s="68">
        <v>-7.6</v>
      </c>
      <c r="I103" s="74">
        <v>8.6</v>
      </c>
      <c r="J103" s="72">
        <v>-42.1</v>
      </c>
      <c r="K103" s="122">
        <v>5</v>
      </c>
      <c r="L103" s="118">
        <f xml:space="preserve"> D$1 * (-D103) + E$1 * (-E103) + F$1 * (-F103) + G$1 * (-G103) + H$1 * (-H103) + I$1 * (-I103) + J$1 * (-J103) + K$1 * (-K103)</f>
        <v>15.933000000000002</v>
      </c>
      <c r="M103" s="113"/>
    </row>
    <row r="104" spans="1:13" ht="24" customHeight="1" x14ac:dyDescent="0.4">
      <c r="A104" s="128">
        <f>L104</f>
        <v>15.760999999999999</v>
      </c>
      <c r="B104" s="137" t="s">
        <v>168</v>
      </c>
      <c r="C104" s="77">
        <v>6190</v>
      </c>
      <c r="D104" s="68">
        <v>-12.4</v>
      </c>
      <c r="E104" s="72">
        <v>-25.1</v>
      </c>
      <c r="F104" s="74">
        <v>-20.9</v>
      </c>
      <c r="G104" s="72">
        <v>-14.4</v>
      </c>
      <c r="H104" s="68">
        <v>-10.5</v>
      </c>
      <c r="I104" s="74">
        <v>10.6</v>
      </c>
      <c r="J104" s="72">
        <v>-32.799999999999997</v>
      </c>
      <c r="K104" s="122">
        <v>6.2</v>
      </c>
      <c r="L104" s="118">
        <f xml:space="preserve"> D$1 * (-D104) + E$1 * (-E104) + F$1 * (-F104) + G$1 * (-G104) + H$1 * (-H104) + I$1 * (-I104) + J$1 * (-J104) + K$1 * (-K104)</f>
        <v>15.760999999999999</v>
      </c>
      <c r="M104" s="113"/>
    </row>
    <row r="105" spans="1:13" ht="24" customHeight="1" x14ac:dyDescent="0.4">
      <c r="A105" s="128">
        <f>L105</f>
        <v>15.295999999999998</v>
      </c>
      <c r="B105" s="137" t="s">
        <v>186</v>
      </c>
      <c r="C105" s="77">
        <v>6190</v>
      </c>
      <c r="D105" s="68">
        <v>-11.5</v>
      </c>
      <c r="E105" s="72">
        <v>-25.9</v>
      </c>
      <c r="F105" s="74">
        <v>-18.399999999999999</v>
      </c>
      <c r="G105" s="72">
        <v>-15.4</v>
      </c>
      <c r="H105" s="68">
        <v>-9.1</v>
      </c>
      <c r="I105" s="74">
        <v>8.6</v>
      </c>
      <c r="J105" s="72">
        <v>-33.1</v>
      </c>
      <c r="K105" s="122">
        <v>8.1</v>
      </c>
      <c r="L105" s="142">
        <f xml:space="preserve"> D$1 * (-D105) + E$1 * (-E105) + F$1 * (-F105) + G$1 * (-G105) + H$1 * (-H105) + I$1 * (-I105) + J$1 * (-J105) + K$1 * (-K105)</f>
        <v>15.295999999999998</v>
      </c>
      <c r="M105" s="113"/>
    </row>
    <row r="106" spans="1:13" ht="24" customHeight="1" x14ac:dyDescent="0.4">
      <c r="A106" s="128">
        <f>L106</f>
        <v>15.097000000000001</v>
      </c>
      <c r="B106" s="137" t="s">
        <v>187</v>
      </c>
      <c r="C106" s="77">
        <v>9120</v>
      </c>
      <c r="D106" s="68">
        <v>-10.6</v>
      </c>
      <c r="E106" s="72">
        <v>-26.1</v>
      </c>
      <c r="F106" s="74">
        <v>-20.9</v>
      </c>
      <c r="G106" s="72">
        <v>-14.1</v>
      </c>
      <c r="H106" s="68">
        <v>-8.3000000000000007</v>
      </c>
      <c r="I106" s="74">
        <v>10.6</v>
      </c>
      <c r="J106" s="72">
        <v>-32.799999999999997</v>
      </c>
      <c r="K106" s="122">
        <v>7.6</v>
      </c>
      <c r="L106" s="143">
        <f xml:space="preserve"> D$1 * (-D106) + E$1 * (-E106) + F$1 * (-F106) + G$1 * (-G106) + H$1 * (-H106) + I$1 * (-I106) + J$1 * (-J106) + K$1 * (-K106)</f>
        <v>15.097000000000001</v>
      </c>
      <c r="M106" s="113" t="s">
        <v>190</v>
      </c>
    </row>
    <row r="107" spans="1:13" ht="24" customHeight="1" x14ac:dyDescent="0.4">
      <c r="A107" s="129">
        <f>L107</f>
        <v>15.009</v>
      </c>
      <c r="B107" s="138" t="s">
        <v>102</v>
      </c>
      <c r="C107" s="108">
        <v>9120</v>
      </c>
      <c r="D107" s="109">
        <v>-11.4</v>
      </c>
      <c r="E107" s="110">
        <v>-25.4</v>
      </c>
      <c r="F107" s="111">
        <v>-18.399999999999999</v>
      </c>
      <c r="G107" s="110">
        <v>-14.3</v>
      </c>
      <c r="H107" s="109">
        <v>-8.6999999999999993</v>
      </c>
      <c r="I107" s="111">
        <v>8.6</v>
      </c>
      <c r="J107" s="110">
        <v>-33.1</v>
      </c>
      <c r="K107" s="123">
        <v>8.6</v>
      </c>
      <c r="L107" s="144">
        <f xml:space="preserve"> D$1 * (-D107) + E$1 * (-E107) + F$1 * (-F107) + G$1 * (-G107) + H$1 * (-H107) + I$1 * (-I107) + J$1 * (-J107) + K$1 * (-K107)</f>
        <v>15.009</v>
      </c>
      <c r="M107" s="113"/>
    </row>
    <row r="108" spans="1:13" ht="24" customHeight="1" x14ac:dyDescent="0.4">
      <c r="A108" s="130">
        <f>L108</f>
        <v>14.144</v>
      </c>
      <c r="B108" s="139" t="s">
        <v>189</v>
      </c>
      <c r="C108" s="79">
        <v>6190</v>
      </c>
      <c r="D108" s="71">
        <v>-10.9</v>
      </c>
      <c r="E108" s="80">
        <v>-25</v>
      </c>
      <c r="F108" s="81">
        <v>-15.8</v>
      </c>
      <c r="G108" s="80">
        <v>-13.2</v>
      </c>
      <c r="H108" s="71">
        <v>-9.1999999999999993</v>
      </c>
      <c r="I108" s="81">
        <v>11.2</v>
      </c>
      <c r="J108" s="80">
        <v>-31.9</v>
      </c>
      <c r="K108" s="124">
        <v>6.6</v>
      </c>
      <c r="L108" s="145">
        <f xml:space="preserve"> D$1 * (-D108) + E$1 * (-E108) + F$1 * (-F108) + G$1 * (-G108) + H$1 * (-H108) + I$1 * (-I108) + J$1 * (-J108) + K$1 * (-K108)</f>
        <v>14.144</v>
      </c>
      <c r="M108" s="113" t="s">
        <v>190</v>
      </c>
    </row>
    <row r="109" spans="1:13" ht="24" customHeight="1" x14ac:dyDescent="0.4">
      <c r="A109" s="130">
        <f>L109</f>
        <v>14.109000000000002</v>
      </c>
      <c r="B109" s="165" t="s">
        <v>176</v>
      </c>
      <c r="C109" s="79">
        <v>9120</v>
      </c>
      <c r="D109" s="71">
        <v>-6.2</v>
      </c>
      <c r="E109" s="80">
        <v>-24.7</v>
      </c>
      <c r="F109" s="81">
        <v>-21.6</v>
      </c>
      <c r="G109" s="80">
        <v>-17.7</v>
      </c>
      <c r="H109" s="71">
        <v>-5.5</v>
      </c>
      <c r="I109" s="81">
        <v>8.6</v>
      </c>
      <c r="J109" s="80">
        <v>-42.1</v>
      </c>
      <c r="K109" s="124">
        <v>6.3</v>
      </c>
      <c r="L109" s="145">
        <f xml:space="preserve"> D$1 * (-D109) + E$1 * (-E109) + F$1 * (-F109) + G$1 * (-G109) + H$1 * (-H109) + I$1 * (-I109) + J$1 * (-J109) + K$1 * (-K109)</f>
        <v>14.109000000000002</v>
      </c>
      <c r="M109" s="113"/>
    </row>
    <row r="110" spans="1:13" ht="24" customHeight="1" x14ac:dyDescent="0.4">
      <c r="A110" s="130">
        <f>L110</f>
        <v>13.660000000000002</v>
      </c>
      <c r="B110" s="139" t="s">
        <v>103</v>
      </c>
      <c r="C110" s="79">
        <v>9120</v>
      </c>
      <c r="D110" s="71">
        <v>-10.1</v>
      </c>
      <c r="E110" s="80">
        <v>-25</v>
      </c>
      <c r="F110" s="81">
        <v>-15.8</v>
      </c>
      <c r="G110" s="80">
        <v>-12.5</v>
      </c>
      <c r="H110" s="71">
        <v>-7.8</v>
      </c>
      <c r="I110" s="81">
        <v>11.2</v>
      </c>
      <c r="J110" s="80">
        <v>-31.9</v>
      </c>
      <c r="K110" s="124">
        <v>7.7</v>
      </c>
      <c r="L110" s="145">
        <f xml:space="preserve"> D$1 * (-D110) + E$1 * (-E110) + F$1 * (-F110) + G$1 * (-G110) + H$1 * (-H110) + I$1 * (-I110) + J$1 * (-J110) + K$1 * (-K110)</f>
        <v>13.660000000000002</v>
      </c>
      <c r="M110" s="113"/>
    </row>
    <row r="111" spans="1:13" ht="24" customHeight="1" x14ac:dyDescent="0.4">
      <c r="A111" s="130"/>
      <c r="B111" s="139"/>
      <c r="C111" s="79"/>
      <c r="D111" s="71"/>
      <c r="E111" s="80"/>
      <c r="F111" s="81"/>
      <c r="G111" s="80"/>
      <c r="H111" s="71"/>
      <c r="I111" s="81"/>
      <c r="J111" s="80"/>
      <c r="K111" s="124"/>
      <c r="L111" s="145"/>
      <c r="M111" s="113"/>
    </row>
    <row r="112" spans="1:13" ht="24" customHeight="1" x14ac:dyDescent="0.4">
      <c r="A112" s="130"/>
      <c r="B112" s="139"/>
      <c r="C112" s="79"/>
      <c r="D112" s="71"/>
      <c r="E112" s="80"/>
      <c r="F112" s="81"/>
      <c r="G112" s="80"/>
      <c r="H112" s="71"/>
      <c r="I112" s="81"/>
      <c r="J112" s="80"/>
      <c r="K112" s="124"/>
      <c r="L112" s="145"/>
      <c r="M112" s="113"/>
    </row>
    <row r="113" spans="1:13" ht="24" customHeight="1" x14ac:dyDescent="0.4">
      <c r="A113" s="130"/>
      <c r="B113" s="139"/>
      <c r="C113" s="79"/>
      <c r="D113" s="71"/>
      <c r="E113" s="80"/>
      <c r="F113" s="81"/>
      <c r="G113" s="80"/>
      <c r="H113" s="71"/>
      <c r="I113" s="81"/>
      <c r="J113" s="80"/>
      <c r="K113" s="124"/>
      <c r="L113" s="145"/>
      <c r="M113" s="113"/>
    </row>
    <row r="114" spans="1:13" ht="24" customHeight="1" x14ac:dyDescent="0.4">
      <c r="A114" s="130"/>
      <c r="B114" s="139"/>
      <c r="C114" s="79"/>
      <c r="D114" s="71"/>
      <c r="E114" s="80"/>
      <c r="F114" s="81"/>
      <c r="G114" s="80"/>
      <c r="H114" s="71"/>
      <c r="I114" s="81"/>
      <c r="J114" s="80"/>
      <c r="K114" s="124"/>
      <c r="L114" s="145"/>
      <c r="M114" s="113"/>
    </row>
    <row r="115" spans="1:13" ht="24" customHeight="1" x14ac:dyDescent="0.4">
      <c r="A115" s="130"/>
      <c r="B115" s="139"/>
      <c r="C115" s="79"/>
      <c r="D115" s="71"/>
      <c r="E115" s="80"/>
      <c r="F115" s="81"/>
      <c r="G115" s="80"/>
      <c r="H115" s="71"/>
      <c r="I115" s="81"/>
      <c r="J115" s="80"/>
      <c r="K115" s="124"/>
      <c r="L115" s="145"/>
      <c r="M115" s="113"/>
    </row>
    <row r="116" spans="1:13" ht="24" customHeight="1" x14ac:dyDescent="0.4">
      <c r="A116" s="130"/>
      <c r="B116" s="139"/>
      <c r="C116" s="79"/>
      <c r="D116" s="71"/>
      <c r="E116" s="80"/>
      <c r="F116" s="81"/>
      <c r="G116" s="80"/>
      <c r="H116" s="71"/>
      <c r="I116" s="81"/>
      <c r="J116" s="80"/>
      <c r="K116" s="124"/>
      <c r="L116" s="145"/>
      <c r="M116" s="113"/>
    </row>
    <row r="117" spans="1:13" ht="24" customHeight="1" x14ac:dyDescent="0.4">
      <c r="A117" s="130"/>
      <c r="B117" s="139"/>
      <c r="C117" s="79"/>
      <c r="D117" s="71"/>
      <c r="E117" s="80"/>
      <c r="F117" s="81"/>
      <c r="G117" s="80"/>
      <c r="H117" s="71"/>
      <c r="I117" s="81"/>
      <c r="J117" s="80"/>
      <c r="K117" s="124"/>
      <c r="L117" s="145"/>
      <c r="M117" s="113"/>
    </row>
    <row r="118" spans="1:13" ht="24" customHeight="1" x14ac:dyDescent="0.4">
      <c r="A118" s="130"/>
      <c r="B118" s="139"/>
      <c r="C118" s="79"/>
      <c r="D118" s="71"/>
      <c r="E118" s="80"/>
      <c r="F118" s="81"/>
      <c r="G118" s="80"/>
      <c r="H118" s="71"/>
      <c r="I118" s="81"/>
      <c r="J118" s="80"/>
      <c r="K118" s="124"/>
      <c r="L118" s="145"/>
      <c r="M118" s="113"/>
    </row>
    <row r="119" spans="1:13" ht="24" customHeight="1" x14ac:dyDescent="0.4">
      <c r="A119" s="130"/>
      <c r="B119" s="139"/>
      <c r="C119" s="79"/>
      <c r="D119" s="71"/>
      <c r="E119" s="80"/>
      <c r="F119" s="81"/>
      <c r="G119" s="80"/>
      <c r="H119" s="71"/>
      <c r="I119" s="81"/>
      <c r="J119" s="80"/>
      <c r="K119" s="124"/>
      <c r="L119" s="145"/>
      <c r="M119" s="113"/>
    </row>
    <row r="120" spans="1:13" ht="24" customHeight="1" x14ac:dyDescent="0.4">
      <c r="A120" s="130"/>
      <c r="B120" s="139"/>
      <c r="C120" s="79"/>
      <c r="D120" s="71"/>
      <c r="E120" s="80"/>
      <c r="F120" s="81"/>
      <c r="G120" s="80"/>
      <c r="H120" s="71"/>
      <c r="I120" s="81"/>
      <c r="J120" s="80"/>
      <c r="K120" s="124"/>
      <c r="L120" s="145"/>
      <c r="M120" s="113"/>
    </row>
    <row r="121" spans="1:13" ht="24" customHeight="1" x14ac:dyDescent="0.4">
      <c r="A121" s="130"/>
      <c r="B121" s="139"/>
      <c r="C121" s="79"/>
      <c r="D121" s="71"/>
      <c r="E121" s="80"/>
      <c r="F121" s="81"/>
      <c r="G121" s="80"/>
      <c r="H121" s="71"/>
      <c r="I121" s="81"/>
      <c r="J121" s="80"/>
      <c r="K121" s="124"/>
      <c r="L121" s="145"/>
      <c r="M121" s="113"/>
    </row>
    <row r="122" spans="1:13" ht="24" customHeight="1" x14ac:dyDescent="0.4">
      <c r="A122" s="130"/>
      <c r="B122" s="139"/>
      <c r="C122" s="79"/>
      <c r="D122" s="71"/>
      <c r="E122" s="80"/>
      <c r="F122" s="81"/>
      <c r="G122" s="80"/>
      <c r="H122" s="71"/>
      <c r="I122" s="81"/>
      <c r="J122" s="80"/>
      <c r="K122" s="124"/>
      <c r="L122" s="145"/>
      <c r="M122" s="113"/>
    </row>
    <row r="123" spans="1:13" ht="24" customHeight="1" x14ac:dyDescent="0.4">
      <c r="A123" s="130"/>
      <c r="B123" s="139"/>
      <c r="C123" s="79"/>
      <c r="D123" s="71"/>
      <c r="E123" s="80"/>
      <c r="F123" s="81"/>
      <c r="G123" s="80"/>
      <c r="H123" s="71"/>
      <c r="I123" s="81"/>
      <c r="J123" s="80"/>
      <c r="K123" s="124"/>
      <c r="L123" s="145"/>
      <c r="M123" s="113"/>
    </row>
    <row r="124" spans="1:13" ht="24" customHeight="1" x14ac:dyDescent="0.4">
      <c r="A124" s="130"/>
      <c r="B124" s="139"/>
      <c r="C124" s="79"/>
      <c r="D124" s="71"/>
      <c r="E124" s="80"/>
      <c r="F124" s="81"/>
      <c r="G124" s="80"/>
      <c r="H124" s="71"/>
      <c r="I124" s="81"/>
      <c r="J124" s="80"/>
      <c r="K124" s="124"/>
      <c r="L124" s="145"/>
      <c r="M124" s="113"/>
    </row>
    <row r="125" spans="1:13" ht="24" customHeight="1" x14ac:dyDescent="0.4">
      <c r="A125" s="130"/>
      <c r="B125" s="139"/>
      <c r="C125" s="79"/>
      <c r="D125" s="71"/>
      <c r="E125" s="80"/>
      <c r="F125" s="81"/>
      <c r="G125" s="80"/>
      <c r="H125" s="71"/>
      <c r="I125" s="81"/>
      <c r="J125" s="80"/>
      <c r="K125" s="124"/>
      <c r="L125" s="145"/>
      <c r="M125" s="113"/>
    </row>
    <row r="126" spans="1:13" ht="24" customHeight="1" x14ac:dyDescent="0.4">
      <c r="A126" s="130"/>
      <c r="B126" s="139"/>
      <c r="C126" s="79"/>
      <c r="D126" s="71"/>
      <c r="E126" s="80"/>
      <c r="F126" s="81"/>
      <c r="G126" s="80"/>
      <c r="H126" s="71"/>
      <c r="I126" s="81"/>
      <c r="J126" s="80"/>
      <c r="K126" s="124"/>
      <c r="L126" s="145"/>
      <c r="M126" s="113"/>
    </row>
    <row r="127" spans="1:13" ht="24" customHeight="1" x14ac:dyDescent="0.4">
      <c r="A127" s="130"/>
      <c r="B127" s="139"/>
      <c r="C127" s="79"/>
      <c r="D127" s="71"/>
      <c r="E127" s="80"/>
      <c r="F127" s="81"/>
      <c r="G127" s="80"/>
      <c r="H127" s="71"/>
      <c r="I127" s="81"/>
      <c r="J127" s="80"/>
      <c r="K127" s="124"/>
      <c r="L127" s="145"/>
      <c r="M127" s="113"/>
    </row>
    <row r="128" spans="1:13" ht="24" customHeight="1" x14ac:dyDescent="0.4">
      <c r="A128" s="130"/>
      <c r="B128" s="139"/>
      <c r="C128" s="79"/>
      <c r="D128" s="71"/>
      <c r="E128" s="80"/>
      <c r="F128" s="81"/>
      <c r="G128" s="80"/>
      <c r="H128" s="71"/>
      <c r="I128" s="81"/>
      <c r="J128" s="80"/>
      <c r="K128" s="124"/>
      <c r="L128" s="145"/>
      <c r="M128" s="113"/>
    </row>
    <row r="129" spans="1:13" ht="24" customHeight="1" x14ac:dyDescent="0.4">
      <c r="A129" s="130"/>
      <c r="B129" s="139"/>
      <c r="C129" s="79"/>
      <c r="D129" s="71"/>
      <c r="E129" s="80"/>
      <c r="F129" s="81"/>
      <c r="G129" s="80"/>
      <c r="H129" s="71"/>
      <c r="I129" s="81"/>
      <c r="J129" s="80"/>
      <c r="K129" s="124"/>
      <c r="L129" s="145"/>
      <c r="M129" s="113"/>
    </row>
    <row r="130" spans="1:13" ht="24" customHeight="1" x14ac:dyDescent="0.4">
      <c r="A130" s="130"/>
      <c r="B130" s="139"/>
      <c r="C130" s="79"/>
      <c r="D130" s="71"/>
      <c r="E130" s="80"/>
      <c r="F130" s="81"/>
      <c r="G130" s="80"/>
      <c r="H130" s="71"/>
      <c r="I130" s="81"/>
      <c r="J130" s="80"/>
      <c r="K130" s="124"/>
      <c r="L130" s="145"/>
      <c r="M130" s="113"/>
    </row>
    <row r="131" spans="1:13" ht="24" customHeight="1" x14ac:dyDescent="0.4">
      <c r="A131" s="130"/>
      <c r="B131" s="139"/>
      <c r="C131" s="79"/>
      <c r="D131" s="71"/>
      <c r="E131" s="80"/>
      <c r="F131" s="81"/>
      <c r="G131" s="80"/>
      <c r="H131" s="71"/>
      <c r="I131" s="81"/>
      <c r="J131" s="80"/>
      <c r="K131" s="124"/>
      <c r="L131" s="145"/>
      <c r="M131" s="113"/>
    </row>
    <row r="132" spans="1:13" ht="24" customHeight="1" x14ac:dyDescent="0.4">
      <c r="A132" s="130"/>
      <c r="B132" s="139"/>
      <c r="C132" s="79"/>
      <c r="D132" s="71"/>
      <c r="E132" s="80"/>
      <c r="F132" s="81"/>
      <c r="G132" s="80"/>
      <c r="H132" s="71"/>
      <c r="I132" s="81"/>
      <c r="J132" s="80"/>
      <c r="K132" s="124"/>
      <c r="L132" s="145"/>
      <c r="M132" s="113"/>
    </row>
    <row r="133" spans="1:13" ht="24" customHeight="1" x14ac:dyDescent="0.4">
      <c r="A133" s="130"/>
      <c r="B133" s="139"/>
      <c r="C133" s="79"/>
      <c r="D133" s="71"/>
      <c r="E133" s="80"/>
      <c r="F133" s="81"/>
      <c r="G133" s="80"/>
      <c r="H133" s="71"/>
      <c r="I133" s="81"/>
      <c r="J133" s="80"/>
      <c r="K133" s="124"/>
      <c r="L133" s="145"/>
      <c r="M133" s="113"/>
    </row>
    <row r="134" spans="1:13" ht="24" customHeight="1" x14ac:dyDescent="0.4">
      <c r="A134" s="130"/>
      <c r="B134" s="139"/>
      <c r="C134" s="79"/>
      <c r="D134" s="71"/>
      <c r="E134" s="80"/>
      <c r="F134" s="81"/>
      <c r="G134" s="80"/>
      <c r="H134" s="71"/>
      <c r="I134" s="81"/>
      <c r="J134" s="80"/>
      <c r="K134" s="124"/>
      <c r="L134" s="145"/>
      <c r="M134" s="113"/>
    </row>
    <row r="135" spans="1:13" ht="24" customHeight="1" x14ac:dyDescent="0.4">
      <c r="A135" s="130"/>
      <c r="B135" s="139"/>
      <c r="C135" s="79"/>
      <c r="D135" s="71"/>
      <c r="E135" s="80"/>
      <c r="F135" s="81"/>
      <c r="G135" s="80"/>
      <c r="H135" s="71"/>
      <c r="I135" s="81"/>
      <c r="J135" s="80"/>
      <c r="K135" s="124"/>
      <c r="L135" s="145"/>
      <c r="M135" s="113"/>
    </row>
    <row r="136" spans="1:13" ht="24" customHeight="1" x14ac:dyDescent="0.4">
      <c r="A136" s="130"/>
      <c r="B136" s="139"/>
      <c r="C136" s="79"/>
      <c r="D136" s="71"/>
      <c r="E136" s="80"/>
      <c r="F136" s="81"/>
      <c r="G136" s="80"/>
      <c r="H136" s="71"/>
      <c r="I136" s="81"/>
      <c r="J136" s="80"/>
      <c r="K136" s="124"/>
      <c r="L136" s="145"/>
      <c r="M136" s="113"/>
    </row>
    <row r="137" spans="1:13" ht="24" customHeight="1" x14ac:dyDescent="0.4">
      <c r="A137" s="130"/>
      <c r="B137" s="139"/>
      <c r="C137" s="79"/>
      <c r="D137" s="71"/>
      <c r="E137" s="80"/>
      <c r="F137" s="81"/>
      <c r="G137" s="80"/>
      <c r="H137" s="71"/>
      <c r="I137" s="81"/>
      <c r="J137" s="80"/>
      <c r="K137" s="124"/>
      <c r="L137" s="145"/>
      <c r="M137" s="113"/>
    </row>
    <row r="138" spans="1:13" ht="24" customHeight="1" x14ac:dyDescent="0.4">
      <c r="A138" s="130"/>
      <c r="B138" s="139"/>
      <c r="C138" s="79"/>
      <c r="D138" s="71"/>
      <c r="E138" s="80"/>
      <c r="F138" s="81"/>
      <c r="G138" s="80"/>
      <c r="H138" s="71"/>
      <c r="I138" s="81"/>
      <c r="J138" s="80"/>
      <c r="K138" s="124"/>
      <c r="L138" s="145"/>
      <c r="M138" s="113"/>
    </row>
    <row r="139" spans="1:13" ht="24" customHeight="1" x14ac:dyDescent="0.4">
      <c r="A139" s="130"/>
      <c r="B139" s="139"/>
      <c r="C139" s="79"/>
      <c r="D139" s="71"/>
      <c r="E139" s="80"/>
      <c r="F139" s="81"/>
      <c r="G139" s="80"/>
      <c r="H139" s="71"/>
      <c r="I139" s="81"/>
      <c r="J139" s="80"/>
      <c r="K139" s="124"/>
      <c r="L139" s="145"/>
      <c r="M139" s="113"/>
    </row>
    <row r="140" spans="1:13" ht="24" customHeight="1" x14ac:dyDescent="0.4">
      <c r="A140" s="130"/>
      <c r="B140" s="139"/>
      <c r="C140" s="79"/>
      <c r="D140" s="71"/>
      <c r="E140" s="80"/>
      <c r="F140" s="81"/>
      <c r="G140" s="80"/>
      <c r="H140" s="71"/>
      <c r="I140" s="81"/>
      <c r="J140" s="80"/>
      <c r="K140" s="124"/>
      <c r="L140" s="145"/>
      <c r="M140" s="113"/>
    </row>
    <row r="141" spans="1:13" ht="24" customHeight="1" x14ac:dyDescent="0.4">
      <c r="A141" s="130"/>
      <c r="B141" s="139"/>
      <c r="C141" s="79"/>
      <c r="D141" s="71"/>
      <c r="E141" s="80"/>
      <c r="F141" s="81"/>
      <c r="G141" s="80"/>
      <c r="H141" s="71"/>
      <c r="I141" s="81"/>
      <c r="J141" s="80"/>
      <c r="K141" s="124"/>
      <c r="L141" s="145"/>
      <c r="M141" s="113"/>
    </row>
    <row r="142" spans="1:13" ht="24" customHeight="1" x14ac:dyDescent="0.4">
      <c r="A142" s="130"/>
      <c r="B142" s="139"/>
      <c r="C142" s="79"/>
      <c r="D142" s="71"/>
      <c r="E142" s="80"/>
      <c r="F142" s="81"/>
      <c r="G142" s="80"/>
      <c r="H142" s="71"/>
      <c r="I142" s="81"/>
      <c r="J142" s="80"/>
      <c r="K142" s="124"/>
      <c r="L142" s="145"/>
      <c r="M142" s="113"/>
    </row>
    <row r="143" spans="1:13" ht="24" customHeight="1" x14ac:dyDescent="0.4">
      <c r="A143" s="130"/>
      <c r="B143" s="139"/>
      <c r="C143" s="79"/>
      <c r="D143" s="71"/>
      <c r="E143" s="80"/>
      <c r="F143" s="81"/>
      <c r="G143" s="80"/>
      <c r="H143" s="71"/>
      <c r="I143" s="81"/>
      <c r="J143" s="80"/>
      <c r="K143" s="124"/>
      <c r="L143" s="145"/>
      <c r="M143" s="113"/>
    </row>
    <row r="144" spans="1:13" ht="24" customHeight="1" x14ac:dyDescent="0.4">
      <c r="A144" s="130"/>
      <c r="B144" s="139"/>
      <c r="C144" s="79"/>
      <c r="D144" s="71"/>
      <c r="E144" s="80"/>
      <c r="F144" s="81"/>
      <c r="G144" s="80"/>
      <c r="H144" s="71"/>
      <c r="I144" s="81"/>
      <c r="J144" s="80"/>
      <c r="K144" s="124"/>
      <c r="L144" s="145"/>
      <c r="M144" s="113"/>
    </row>
    <row r="145" spans="1:13" ht="24" customHeight="1" x14ac:dyDescent="0.4">
      <c r="A145" s="130"/>
      <c r="B145" s="139"/>
      <c r="C145" s="79"/>
      <c r="D145" s="71"/>
      <c r="E145" s="80"/>
      <c r="F145" s="81"/>
      <c r="G145" s="80"/>
      <c r="H145" s="71"/>
      <c r="I145" s="81"/>
      <c r="J145" s="80"/>
      <c r="K145" s="124"/>
      <c r="L145" s="145"/>
      <c r="M145" s="113"/>
    </row>
    <row r="146" spans="1:13" ht="24" customHeight="1" x14ac:dyDescent="0.4">
      <c r="A146" s="130"/>
      <c r="B146" s="139"/>
      <c r="C146" s="79"/>
      <c r="D146" s="71"/>
      <c r="E146" s="80"/>
      <c r="F146" s="81"/>
      <c r="G146" s="80"/>
      <c r="H146" s="71"/>
      <c r="I146" s="81"/>
      <c r="J146" s="80"/>
      <c r="K146" s="124"/>
      <c r="L146" s="145"/>
      <c r="M146" s="113"/>
    </row>
    <row r="147" spans="1:13" ht="24" customHeight="1" x14ac:dyDescent="0.4">
      <c r="A147" s="130"/>
      <c r="B147" s="139"/>
      <c r="C147" s="79"/>
      <c r="D147" s="71"/>
      <c r="E147" s="80"/>
      <c r="F147" s="81"/>
      <c r="G147" s="80"/>
      <c r="H147" s="71"/>
      <c r="I147" s="81"/>
      <c r="J147" s="80"/>
      <c r="K147" s="124"/>
      <c r="L147" s="145"/>
      <c r="M147" s="113"/>
    </row>
    <row r="148" spans="1:13" ht="24" customHeight="1" x14ac:dyDescent="0.4">
      <c r="A148" s="130"/>
      <c r="B148" s="139"/>
      <c r="C148" s="79"/>
      <c r="D148" s="71"/>
      <c r="E148" s="80"/>
      <c r="F148" s="81"/>
      <c r="G148" s="80"/>
      <c r="H148" s="71"/>
      <c r="I148" s="81"/>
      <c r="J148" s="80"/>
      <c r="K148" s="124"/>
      <c r="L148" s="145"/>
      <c r="M148" s="113"/>
    </row>
    <row r="149" spans="1:13" ht="24" customHeight="1" x14ac:dyDescent="0.4">
      <c r="A149" s="130"/>
      <c r="B149" s="139"/>
      <c r="C149" s="79"/>
      <c r="D149" s="71"/>
      <c r="E149" s="80"/>
      <c r="F149" s="81"/>
      <c r="G149" s="80"/>
      <c r="H149" s="71"/>
      <c r="I149" s="81"/>
      <c r="J149" s="80"/>
      <c r="K149" s="124"/>
      <c r="L149" s="145"/>
      <c r="M149" s="113"/>
    </row>
    <row r="150" spans="1:13" ht="24" customHeight="1" x14ac:dyDescent="0.4">
      <c r="A150" s="130"/>
      <c r="B150" s="139"/>
      <c r="C150" s="79"/>
      <c r="D150" s="71"/>
      <c r="E150" s="80"/>
      <c r="F150" s="81"/>
      <c r="G150" s="80"/>
      <c r="H150" s="71"/>
      <c r="I150" s="81"/>
      <c r="J150" s="80"/>
      <c r="K150" s="124"/>
      <c r="L150" s="145"/>
      <c r="M150" s="113"/>
    </row>
    <row r="151" spans="1:13" ht="24" customHeight="1" x14ac:dyDescent="0.4">
      <c r="A151" s="130"/>
      <c r="B151" s="139"/>
      <c r="C151" s="79"/>
      <c r="D151" s="71"/>
      <c r="E151" s="80"/>
      <c r="F151" s="81"/>
      <c r="G151" s="80"/>
      <c r="H151" s="71"/>
      <c r="I151" s="81"/>
      <c r="J151" s="80"/>
      <c r="K151" s="124"/>
      <c r="L151" s="145"/>
      <c r="M151" s="113"/>
    </row>
    <row r="152" spans="1:13" ht="24" customHeight="1" x14ac:dyDescent="0.4">
      <c r="A152" s="130"/>
      <c r="B152" s="139"/>
      <c r="C152" s="79"/>
      <c r="D152" s="71"/>
      <c r="E152" s="80"/>
      <c r="F152" s="81"/>
      <c r="G152" s="80"/>
      <c r="H152" s="71"/>
      <c r="I152" s="81"/>
      <c r="J152" s="80"/>
      <c r="K152" s="124"/>
      <c r="L152" s="145"/>
      <c r="M152" s="113"/>
    </row>
    <row r="153" spans="1:13" ht="24" customHeight="1" x14ac:dyDescent="0.4">
      <c r="A153" s="130"/>
      <c r="B153" s="139"/>
      <c r="C153" s="79"/>
      <c r="D153" s="71"/>
      <c r="E153" s="80"/>
      <c r="F153" s="81"/>
      <c r="G153" s="80"/>
      <c r="H153" s="71"/>
      <c r="I153" s="81"/>
      <c r="J153" s="80"/>
      <c r="K153" s="124"/>
      <c r="L153" s="145"/>
      <c r="M153" s="113"/>
    </row>
    <row r="154" spans="1:13" ht="24" customHeight="1" x14ac:dyDescent="0.4">
      <c r="A154" s="130"/>
      <c r="B154" s="139"/>
      <c r="C154" s="79"/>
      <c r="D154" s="71"/>
      <c r="E154" s="80"/>
      <c r="F154" s="81"/>
      <c r="G154" s="80"/>
      <c r="H154" s="71"/>
      <c r="I154" s="81"/>
      <c r="J154" s="80"/>
      <c r="K154" s="124"/>
      <c r="L154" s="145"/>
      <c r="M154" s="113"/>
    </row>
    <row r="155" spans="1:13" ht="24" customHeight="1" x14ac:dyDescent="0.4">
      <c r="A155" s="130"/>
      <c r="B155" s="139"/>
      <c r="C155" s="79"/>
      <c r="D155" s="71"/>
      <c r="E155" s="80"/>
      <c r="F155" s="81"/>
      <c r="G155" s="80"/>
      <c r="H155" s="71"/>
      <c r="I155" s="81"/>
      <c r="J155" s="80"/>
      <c r="K155" s="124"/>
      <c r="L155" s="145"/>
      <c r="M155" s="113"/>
    </row>
    <row r="156" spans="1:13" ht="24" customHeight="1" x14ac:dyDescent="0.4">
      <c r="A156" s="130"/>
      <c r="B156" s="139"/>
      <c r="C156" s="79"/>
      <c r="D156" s="71"/>
      <c r="E156" s="80"/>
      <c r="F156" s="81"/>
      <c r="G156" s="80"/>
      <c r="H156" s="71"/>
      <c r="I156" s="81"/>
      <c r="J156" s="80"/>
      <c r="K156" s="124"/>
      <c r="L156" s="145"/>
      <c r="M156" s="113"/>
    </row>
    <row r="157" spans="1:13" ht="24" customHeight="1" x14ac:dyDescent="0.4">
      <c r="A157" s="130"/>
      <c r="B157" s="139"/>
      <c r="C157" s="79"/>
      <c r="D157" s="71"/>
      <c r="E157" s="80"/>
      <c r="F157" s="81"/>
      <c r="G157" s="80"/>
      <c r="H157" s="71"/>
      <c r="I157" s="81"/>
      <c r="J157" s="80"/>
      <c r="K157" s="124"/>
      <c r="L157" s="145"/>
      <c r="M157" s="113"/>
    </row>
    <row r="158" spans="1:13" ht="24" customHeight="1" x14ac:dyDescent="0.4">
      <c r="A158" s="130"/>
      <c r="B158" s="139"/>
      <c r="C158" s="79"/>
      <c r="D158" s="71"/>
      <c r="E158" s="80"/>
      <c r="F158" s="81"/>
      <c r="G158" s="80"/>
      <c r="H158" s="71"/>
      <c r="I158" s="81"/>
      <c r="J158" s="80"/>
      <c r="K158" s="124"/>
      <c r="L158" s="145"/>
      <c r="M158" s="113"/>
    </row>
    <row r="159" spans="1:13" ht="24" customHeight="1" x14ac:dyDescent="0.4">
      <c r="A159" s="130"/>
      <c r="B159" s="139"/>
      <c r="C159" s="79"/>
      <c r="D159" s="71"/>
      <c r="E159" s="80"/>
      <c r="F159" s="81"/>
      <c r="G159" s="80"/>
      <c r="H159" s="71"/>
      <c r="I159" s="81"/>
      <c r="J159" s="80"/>
      <c r="K159" s="124"/>
      <c r="L159" s="145"/>
      <c r="M159" s="113"/>
    </row>
    <row r="160" spans="1:13" ht="24" customHeight="1" x14ac:dyDescent="0.4">
      <c r="A160" s="130"/>
      <c r="B160" s="139"/>
      <c r="C160" s="79"/>
      <c r="D160" s="71"/>
      <c r="E160" s="80"/>
      <c r="F160" s="81"/>
      <c r="G160" s="80"/>
      <c r="H160" s="71"/>
      <c r="I160" s="81"/>
      <c r="J160" s="80"/>
      <c r="K160" s="124"/>
      <c r="L160" s="145"/>
      <c r="M160" s="113"/>
    </row>
    <row r="161" spans="1:13" ht="24" customHeight="1" x14ac:dyDescent="0.4">
      <c r="A161" s="130"/>
      <c r="B161" s="139"/>
      <c r="C161" s="79"/>
      <c r="D161" s="71"/>
      <c r="E161" s="80"/>
      <c r="F161" s="81"/>
      <c r="G161" s="80"/>
      <c r="H161" s="71"/>
      <c r="I161" s="81"/>
      <c r="J161" s="80"/>
      <c r="K161" s="124"/>
      <c r="L161" s="145"/>
      <c r="M161" s="113"/>
    </row>
    <row r="162" spans="1:13" ht="24" customHeight="1" x14ac:dyDescent="0.4">
      <c r="A162" s="130"/>
      <c r="B162" s="139"/>
      <c r="C162" s="79"/>
      <c r="D162" s="71"/>
      <c r="E162" s="80"/>
      <c r="F162" s="81"/>
      <c r="G162" s="80"/>
      <c r="H162" s="71"/>
      <c r="I162" s="81"/>
      <c r="J162" s="80"/>
      <c r="K162" s="124"/>
      <c r="L162" s="145"/>
      <c r="M162" s="113"/>
    </row>
    <row r="163" spans="1:13" ht="24" customHeight="1" x14ac:dyDescent="0.4">
      <c r="A163" s="130"/>
      <c r="B163" s="139"/>
      <c r="C163" s="79"/>
      <c r="D163" s="71"/>
      <c r="E163" s="80"/>
      <c r="F163" s="81"/>
      <c r="G163" s="80"/>
      <c r="H163" s="71"/>
      <c r="I163" s="81"/>
      <c r="J163" s="80"/>
      <c r="K163" s="124"/>
      <c r="L163" s="145"/>
      <c r="M163" s="113"/>
    </row>
    <row r="164" spans="1:13" ht="24" customHeight="1" x14ac:dyDescent="0.4">
      <c r="A164" s="130"/>
      <c r="B164" s="139"/>
      <c r="C164" s="79"/>
      <c r="D164" s="71"/>
      <c r="E164" s="80"/>
      <c r="F164" s="81"/>
      <c r="G164" s="80"/>
      <c r="H164" s="71"/>
      <c r="I164" s="81"/>
      <c r="J164" s="80"/>
      <c r="K164" s="124"/>
      <c r="L164" s="145"/>
      <c r="M164" s="113"/>
    </row>
    <row r="165" spans="1:13" ht="24" customHeight="1" x14ac:dyDescent="0.4">
      <c r="A165" s="130"/>
      <c r="B165" s="139"/>
      <c r="C165" s="79"/>
      <c r="D165" s="71"/>
      <c r="E165" s="80"/>
      <c r="F165" s="81"/>
      <c r="G165" s="80"/>
      <c r="H165" s="71"/>
      <c r="I165" s="81"/>
      <c r="J165" s="80"/>
      <c r="K165" s="124"/>
      <c r="L165" s="145"/>
      <c r="M165" s="113"/>
    </row>
    <row r="166" spans="1:13" ht="24" customHeight="1" x14ac:dyDescent="0.4">
      <c r="A166" s="130"/>
      <c r="B166" s="139"/>
      <c r="C166" s="79"/>
      <c r="D166" s="71"/>
      <c r="E166" s="80"/>
      <c r="F166" s="81"/>
      <c r="G166" s="80"/>
      <c r="H166" s="71"/>
      <c r="I166" s="81"/>
      <c r="J166" s="80"/>
      <c r="K166" s="124"/>
      <c r="L166" s="145"/>
      <c r="M166" s="113"/>
    </row>
    <row r="167" spans="1:13" ht="24" customHeight="1" x14ac:dyDescent="0.4">
      <c r="A167" s="130"/>
      <c r="B167" s="139"/>
      <c r="C167" s="79"/>
      <c r="D167" s="71"/>
      <c r="E167" s="80"/>
      <c r="F167" s="81"/>
      <c r="G167" s="80"/>
      <c r="H167" s="71"/>
      <c r="I167" s="81"/>
      <c r="J167" s="80"/>
      <c r="K167" s="124"/>
      <c r="L167" s="145"/>
      <c r="M167" s="113"/>
    </row>
    <row r="168" spans="1:13" ht="24" customHeight="1" x14ac:dyDescent="0.4">
      <c r="A168" s="130"/>
      <c r="B168" s="139"/>
      <c r="C168" s="79"/>
      <c r="D168" s="71"/>
      <c r="E168" s="80"/>
      <c r="F168" s="81"/>
      <c r="G168" s="80"/>
      <c r="H168" s="71"/>
      <c r="I168" s="81"/>
      <c r="J168" s="80"/>
      <c r="K168" s="124"/>
      <c r="L168" s="145"/>
      <c r="M168" s="113"/>
    </row>
    <row r="169" spans="1:13" ht="24" customHeight="1" x14ac:dyDescent="0.4">
      <c r="A169" s="130"/>
      <c r="B169" s="139"/>
      <c r="C169" s="79"/>
      <c r="D169" s="71"/>
      <c r="E169" s="80"/>
      <c r="F169" s="81"/>
      <c r="G169" s="80"/>
      <c r="H169" s="71"/>
      <c r="I169" s="81"/>
      <c r="J169" s="80"/>
      <c r="K169" s="124"/>
      <c r="L169" s="145"/>
      <c r="M169" s="113"/>
    </row>
    <row r="170" spans="1:13" ht="24" customHeight="1" x14ac:dyDescent="0.4">
      <c r="A170" s="130"/>
      <c r="B170" s="139"/>
      <c r="C170" s="79"/>
      <c r="D170" s="71"/>
      <c r="E170" s="80"/>
      <c r="F170" s="81"/>
      <c r="G170" s="80"/>
      <c r="H170" s="71"/>
      <c r="I170" s="81"/>
      <c r="J170" s="80"/>
      <c r="K170" s="124"/>
      <c r="L170" s="145"/>
      <c r="M170" s="113"/>
    </row>
    <row r="171" spans="1:13" ht="24" customHeight="1" x14ac:dyDescent="0.4">
      <c r="A171" s="130"/>
      <c r="B171" s="139"/>
      <c r="C171" s="79"/>
      <c r="D171" s="71"/>
      <c r="E171" s="80"/>
      <c r="F171" s="81"/>
      <c r="G171" s="80"/>
      <c r="H171" s="71"/>
      <c r="I171" s="81"/>
      <c r="J171" s="80"/>
      <c r="K171" s="124"/>
      <c r="L171" s="145"/>
      <c r="M171" s="113"/>
    </row>
    <row r="172" spans="1:13" ht="24" customHeight="1" x14ac:dyDescent="0.4">
      <c r="A172" s="130"/>
      <c r="B172" s="139"/>
      <c r="C172" s="79"/>
      <c r="D172" s="71"/>
      <c r="E172" s="80"/>
      <c r="F172" s="81"/>
      <c r="G172" s="80"/>
      <c r="H172" s="71"/>
      <c r="I172" s="81"/>
      <c r="J172" s="80"/>
      <c r="K172" s="124"/>
      <c r="L172" s="145"/>
      <c r="M172" s="113"/>
    </row>
    <row r="173" spans="1:13" ht="24" customHeight="1" x14ac:dyDescent="0.4">
      <c r="A173" s="130"/>
      <c r="B173" s="139"/>
      <c r="C173" s="79"/>
      <c r="D173" s="71"/>
      <c r="E173" s="80"/>
      <c r="F173" s="81"/>
      <c r="G173" s="80"/>
      <c r="H173" s="71"/>
      <c r="I173" s="81"/>
      <c r="J173" s="80"/>
      <c r="K173" s="124"/>
      <c r="L173" s="145"/>
      <c r="M173" s="113"/>
    </row>
    <row r="174" spans="1:13" ht="24" customHeight="1" x14ac:dyDescent="0.4">
      <c r="A174" s="130"/>
      <c r="B174" s="139"/>
      <c r="C174" s="79"/>
      <c r="D174" s="71"/>
      <c r="E174" s="80"/>
      <c r="F174" s="81"/>
      <c r="G174" s="80"/>
      <c r="H174" s="71"/>
      <c r="I174" s="81"/>
      <c r="J174" s="80"/>
      <c r="K174" s="124"/>
      <c r="L174" s="145"/>
      <c r="M174" s="113"/>
    </row>
    <row r="175" spans="1:13" ht="24" customHeight="1" x14ac:dyDescent="0.4">
      <c r="A175" s="130"/>
      <c r="B175" s="139"/>
      <c r="C175" s="79"/>
      <c r="D175" s="71"/>
      <c r="E175" s="80"/>
      <c r="F175" s="81"/>
      <c r="G175" s="80"/>
      <c r="H175" s="71"/>
      <c r="I175" s="81"/>
      <c r="J175" s="80"/>
      <c r="K175" s="124"/>
      <c r="L175" s="145"/>
      <c r="M175" s="113"/>
    </row>
    <row r="176" spans="1:13" ht="24" customHeight="1" x14ac:dyDescent="0.4">
      <c r="A176" s="130"/>
      <c r="B176" s="139"/>
      <c r="C176" s="79"/>
      <c r="D176" s="71"/>
      <c r="E176" s="80"/>
      <c r="F176" s="81"/>
      <c r="G176" s="80"/>
      <c r="H176" s="71"/>
      <c r="I176" s="81"/>
      <c r="J176" s="80"/>
      <c r="K176" s="124"/>
      <c r="L176" s="145"/>
      <c r="M176" s="113"/>
    </row>
    <row r="177" spans="1:13" ht="24" customHeight="1" x14ac:dyDescent="0.4">
      <c r="A177" s="130"/>
      <c r="B177" s="139"/>
      <c r="C177" s="79"/>
      <c r="D177" s="71"/>
      <c r="E177" s="80"/>
      <c r="F177" s="81"/>
      <c r="G177" s="80"/>
      <c r="H177" s="71"/>
      <c r="I177" s="81"/>
      <c r="J177" s="80"/>
      <c r="K177" s="124"/>
      <c r="L177" s="145"/>
      <c r="M177" s="113"/>
    </row>
    <row r="178" spans="1:13" ht="24" customHeight="1" x14ac:dyDescent="0.4">
      <c r="A178" s="130"/>
      <c r="B178" s="139"/>
      <c r="C178" s="79"/>
      <c r="D178" s="71"/>
      <c r="E178" s="80"/>
      <c r="F178" s="81"/>
      <c r="G178" s="80"/>
      <c r="H178" s="71"/>
      <c r="I178" s="81"/>
      <c r="J178" s="80"/>
      <c r="K178" s="124"/>
      <c r="L178" s="145"/>
      <c r="M178" s="113"/>
    </row>
    <row r="179" spans="1:13" ht="24" customHeight="1" x14ac:dyDescent="0.4">
      <c r="A179" s="130"/>
      <c r="B179" s="139"/>
      <c r="C179" s="79"/>
      <c r="D179" s="71"/>
      <c r="E179" s="80"/>
      <c r="F179" s="81"/>
      <c r="G179" s="80"/>
      <c r="H179" s="71"/>
      <c r="I179" s="81"/>
      <c r="J179" s="80"/>
      <c r="K179" s="124"/>
      <c r="L179" s="145"/>
      <c r="M179" s="113"/>
    </row>
    <row r="180" spans="1:13" ht="24" customHeight="1" x14ac:dyDescent="0.4">
      <c r="A180" s="130"/>
      <c r="B180" s="139"/>
      <c r="C180" s="79"/>
      <c r="D180" s="71"/>
      <c r="E180" s="80"/>
      <c r="F180" s="81"/>
      <c r="G180" s="80"/>
      <c r="H180" s="71"/>
      <c r="I180" s="81"/>
      <c r="J180" s="80"/>
      <c r="K180" s="124"/>
      <c r="L180" s="145"/>
      <c r="M180" s="113"/>
    </row>
    <row r="181" spans="1:13" ht="24" customHeight="1" x14ac:dyDescent="0.4">
      <c r="A181" s="130"/>
      <c r="B181" s="139"/>
      <c r="C181" s="79"/>
      <c r="D181" s="71"/>
      <c r="E181" s="80"/>
      <c r="F181" s="81"/>
      <c r="G181" s="80"/>
      <c r="H181" s="71"/>
      <c r="I181" s="81"/>
      <c r="J181" s="80"/>
      <c r="K181" s="124"/>
      <c r="L181" s="145"/>
      <c r="M181" s="113"/>
    </row>
    <row r="182" spans="1:13" ht="24" customHeight="1" x14ac:dyDescent="0.4">
      <c r="A182" s="130"/>
      <c r="B182" s="139"/>
      <c r="C182" s="79"/>
      <c r="D182" s="71"/>
      <c r="E182" s="80"/>
      <c r="F182" s="81"/>
      <c r="G182" s="80"/>
      <c r="H182" s="71"/>
      <c r="I182" s="81"/>
      <c r="J182" s="80"/>
      <c r="K182" s="124"/>
      <c r="L182" s="145"/>
      <c r="M182" s="113"/>
    </row>
    <row r="183" spans="1:13" ht="24" customHeight="1" x14ac:dyDescent="0.4">
      <c r="A183" s="130"/>
      <c r="B183" s="139"/>
      <c r="C183" s="79"/>
      <c r="D183" s="71"/>
      <c r="E183" s="80"/>
      <c r="F183" s="81"/>
      <c r="G183" s="80"/>
      <c r="H183" s="71"/>
      <c r="I183" s="81"/>
      <c r="J183" s="80"/>
      <c r="K183" s="124"/>
      <c r="L183" s="145"/>
      <c r="M183" s="113"/>
    </row>
    <row r="184" spans="1:13" ht="24" customHeight="1" x14ac:dyDescent="0.4">
      <c r="A184" s="130"/>
      <c r="B184" s="139"/>
      <c r="C184" s="79"/>
      <c r="D184" s="71"/>
      <c r="E184" s="80"/>
      <c r="F184" s="81"/>
      <c r="G184" s="80"/>
      <c r="H184" s="71"/>
      <c r="I184" s="81"/>
      <c r="J184" s="80"/>
      <c r="K184" s="124"/>
      <c r="L184" s="145"/>
      <c r="M184" s="113"/>
    </row>
    <row r="185" spans="1:13" ht="24" customHeight="1" x14ac:dyDescent="0.4">
      <c r="A185" s="130"/>
      <c r="B185" s="139"/>
      <c r="C185" s="79"/>
      <c r="D185" s="71"/>
      <c r="E185" s="80"/>
      <c r="F185" s="81"/>
      <c r="G185" s="80"/>
      <c r="H185" s="71"/>
      <c r="I185" s="81"/>
      <c r="J185" s="80"/>
      <c r="K185" s="124"/>
      <c r="L185" s="145"/>
      <c r="M185" s="113"/>
    </row>
    <row r="186" spans="1:13" ht="24" customHeight="1" x14ac:dyDescent="0.4">
      <c r="A186" s="130"/>
      <c r="B186" s="139"/>
      <c r="C186" s="79"/>
      <c r="D186" s="71"/>
      <c r="E186" s="80"/>
      <c r="F186" s="81"/>
      <c r="G186" s="80"/>
      <c r="H186" s="71"/>
      <c r="I186" s="81"/>
      <c r="J186" s="80"/>
      <c r="K186" s="124"/>
      <c r="L186" s="145"/>
      <c r="M186" s="113"/>
    </row>
    <row r="187" spans="1:13" ht="24" customHeight="1" x14ac:dyDescent="0.4">
      <c r="A187" s="130"/>
      <c r="B187" s="139"/>
      <c r="C187" s="79"/>
      <c r="D187" s="71"/>
      <c r="E187" s="80"/>
      <c r="F187" s="81"/>
      <c r="G187" s="80"/>
      <c r="H187" s="71"/>
      <c r="I187" s="81"/>
      <c r="J187" s="80"/>
      <c r="K187" s="124"/>
      <c r="L187" s="145"/>
      <c r="M187" s="113"/>
    </row>
    <row r="188" spans="1:13" ht="24" customHeight="1" x14ac:dyDescent="0.4">
      <c r="A188" s="130"/>
      <c r="B188" s="139"/>
      <c r="C188" s="79"/>
      <c r="D188" s="71"/>
      <c r="E188" s="80"/>
      <c r="F188" s="81"/>
      <c r="G188" s="80"/>
      <c r="H188" s="71"/>
      <c r="I188" s="81"/>
      <c r="J188" s="80"/>
      <c r="K188" s="124"/>
      <c r="L188" s="145"/>
      <c r="M188" s="113"/>
    </row>
    <row r="189" spans="1:13" ht="24" customHeight="1" x14ac:dyDescent="0.4">
      <c r="A189" s="130"/>
      <c r="B189" s="139"/>
      <c r="C189" s="79"/>
      <c r="D189" s="71"/>
      <c r="E189" s="80"/>
      <c r="F189" s="81"/>
      <c r="G189" s="80"/>
      <c r="H189" s="71"/>
      <c r="I189" s="81"/>
      <c r="J189" s="80"/>
      <c r="K189" s="124"/>
      <c r="L189" s="145"/>
      <c r="M189" s="113"/>
    </row>
    <row r="190" spans="1:13" ht="24" customHeight="1" x14ac:dyDescent="0.4">
      <c r="A190" s="130"/>
      <c r="B190" s="139"/>
      <c r="C190" s="79"/>
      <c r="D190" s="71"/>
      <c r="E190" s="80"/>
      <c r="F190" s="81"/>
      <c r="G190" s="80"/>
      <c r="H190" s="71"/>
      <c r="I190" s="81"/>
      <c r="J190" s="80"/>
      <c r="K190" s="124"/>
      <c r="L190" s="145"/>
      <c r="M190" s="113"/>
    </row>
    <row r="191" spans="1:13" ht="24" customHeight="1" x14ac:dyDescent="0.4">
      <c r="A191" s="130"/>
      <c r="B191" s="139"/>
      <c r="C191" s="79"/>
      <c r="D191" s="71"/>
      <c r="E191" s="80"/>
      <c r="F191" s="81"/>
      <c r="G191" s="80"/>
      <c r="H191" s="71"/>
      <c r="I191" s="81"/>
      <c r="J191" s="80"/>
      <c r="K191" s="124"/>
      <c r="L191" s="145"/>
      <c r="M191" s="113"/>
    </row>
    <row r="192" spans="1:13" ht="24" customHeight="1" x14ac:dyDescent="0.4">
      <c r="A192" s="130"/>
      <c r="B192" s="139"/>
      <c r="C192" s="79"/>
      <c r="D192" s="71"/>
      <c r="E192" s="80"/>
      <c r="F192" s="81"/>
      <c r="G192" s="80"/>
      <c r="H192" s="71"/>
      <c r="I192" s="81"/>
      <c r="J192" s="80"/>
      <c r="K192" s="124"/>
      <c r="L192" s="145"/>
      <c r="M192" s="113"/>
    </row>
    <row r="193" spans="1:13" ht="24" customHeight="1" x14ac:dyDescent="0.4">
      <c r="A193" s="130"/>
      <c r="B193" s="139"/>
      <c r="C193" s="79"/>
      <c r="D193" s="71"/>
      <c r="E193" s="80"/>
      <c r="F193" s="81"/>
      <c r="G193" s="80"/>
      <c r="H193" s="71"/>
      <c r="I193" s="81"/>
      <c r="J193" s="80"/>
      <c r="K193" s="124"/>
      <c r="L193" s="145"/>
      <c r="M193" s="113"/>
    </row>
    <row r="194" spans="1:13" ht="24" customHeight="1" x14ac:dyDescent="0.4">
      <c r="A194" s="130"/>
      <c r="B194" s="139"/>
      <c r="C194" s="79"/>
      <c r="D194" s="71"/>
      <c r="E194" s="80"/>
      <c r="F194" s="81"/>
      <c r="G194" s="80"/>
      <c r="H194" s="71"/>
      <c r="I194" s="81"/>
      <c r="J194" s="80"/>
      <c r="K194" s="124"/>
      <c r="L194" s="145"/>
      <c r="M194" s="113"/>
    </row>
    <row r="195" spans="1:13" ht="24" customHeight="1" x14ac:dyDescent="0.4">
      <c r="A195" s="130"/>
      <c r="B195" s="139"/>
      <c r="C195" s="79"/>
      <c r="D195" s="71"/>
      <c r="E195" s="80"/>
      <c r="F195" s="81"/>
      <c r="G195" s="80"/>
      <c r="H195" s="71"/>
      <c r="I195" s="81"/>
      <c r="J195" s="80"/>
      <c r="K195" s="124"/>
      <c r="L195" s="145"/>
      <c r="M195" s="113"/>
    </row>
    <row r="196" spans="1:13" ht="24" customHeight="1" x14ac:dyDescent="0.4">
      <c r="A196" s="130"/>
      <c r="B196" s="139"/>
      <c r="C196" s="79"/>
      <c r="D196" s="71"/>
      <c r="E196" s="80"/>
      <c r="F196" s="81"/>
      <c r="G196" s="80"/>
      <c r="H196" s="71"/>
      <c r="I196" s="81"/>
      <c r="J196" s="80"/>
      <c r="K196" s="124"/>
      <c r="L196" s="145"/>
      <c r="M196" s="113"/>
    </row>
    <row r="197" spans="1:13" ht="24" customHeight="1" x14ac:dyDescent="0.4">
      <c r="A197" s="130"/>
      <c r="B197" s="139"/>
      <c r="C197" s="79"/>
      <c r="D197" s="71"/>
      <c r="E197" s="80"/>
      <c r="F197" s="81"/>
      <c r="G197" s="80"/>
      <c r="H197" s="71"/>
      <c r="I197" s="81"/>
      <c r="J197" s="80"/>
      <c r="K197" s="124"/>
      <c r="L197" s="145"/>
      <c r="M197" s="113"/>
    </row>
    <row r="198" spans="1:13" ht="24" customHeight="1" x14ac:dyDescent="0.4">
      <c r="A198" s="130"/>
      <c r="B198" s="139"/>
      <c r="C198" s="79"/>
      <c r="D198" s="71"/>
      <c r="E198" s="80"/>
      <c r="F198" s="81"/>
      <c r="G198" s="80"/>
      <c r="H198" s="71"/>
      <c r="I198" s="81"/>
      <c r="J198" s="80"/>
      <c r="K198" s="124"/>
      <c r="L198" s="145"/>
      <c r="M198" s="113"/>
    </row>
    <row r="199" spans="1:13" ht="24" customHeight="1" x14ac:dyDescent="0.4">
      <c r="A199" s="130"/>
      <c r="B199" s="139"/>
      <c r="C199" s="79"/>
      <c r="D199" s="71"/>
      <c r="E199" s="80"/>
      <c r="F199" s="81"/>
      <c r="G199" s="80"/>
      <c r="H199" s="71"/>
      <c r="I199" s="81"/>
      <c r="J199" s="80"/>
      <c r="K199" s="124"/>
      <c r="L199" s="145"/>
      <c r="M199" s="113"/>
    </row>
    <row r="200" spans="1:13" ht="24" customHeight="1" x14ac:dyDescent="0.4">
      <c r="A200" s="130"/>
      <c r="B200" s="139"/>
      <c r="C200" s="79"/>
      <c r="D200" s="71"/>
      <c r="E200" s="80"/>
      <c r="F200" s="81"/>
      <c r="G200" s="80"/>
      <c r="H200" s="71"/>
      <c r="I200" s="81"/>
      <c r="J200" s="80"/>
      <c r="K200" s="124"/>
      <c r="L200" s="145"/>
      <c r="M200" s="113"/>
    </row>
    <row r="201" spans="1:13" ht="24" customHeight="1" x14ac:dyDescent="0.4">
      <c r="A201" s="130"/>
      <c r="B201" s="139"/>
      <c r="C201" s="79"/>
      <c r="D201" s="71"/>
      <c r="E201" s="80"/>
      <c r="F201" s="81"/>
      <c r="G201" s="80"/>
      <c r="H201" s="71"/>
      <c r="I201" s="81"/>
      <c r="J201" s="80"/>
      <c r="K201" s="124"/>
      <c r="L201" s="145"/>
      <c r="M201" s="113"/>
    </row>
    <row r="202" spans="1:13" ht="24" customHeight="1" x14ac:dyDescent="0.4">
      <c r="A202" s="130"/>
      <c r="B202" s="139"/>
      <c r="C202" s="79"/>
      <c r="D202" s="71"/>
      <c r="E202" s="80"/>
      <c r="F202" s="81"/>
      <c r="G202" s="80"/>
      <c r="H202" s="71"/>
      <c r="I202" s="81"/>
      <c r="J202" s="80"/>
      <c r="K202" s="124"/>
      <c r="L202" s="145"/>
      <c r="M202" s="113"/>
    </row>
    <row r="203" spans="1:13" ht="24" customHeight="1" x14ac:dyDescent="0.4">
      <c r="A203" s="130"/>
      <c r="B203" s="139"/>
      <c r="C203" s="79"/>
      <c r="D203" s="71"/>
      <c r="E203" s="80"/>
      <c r="F203" s="81"/>
      <c r="G203" s="80"/>
      <c r="H203" s="71"/>
      <c r="I203" s="81"/>
      <c r="J203" s="80"/>
      <c r="K203" s="124"/>
      <c r="L203" s="145"/>
      <c r="M203" s="113"/>
    </row>
    <row r="204" spans="1:13" ht="24" customHeight="1" x14ac:dyDescent="0.4">
      <c r="A204" s="130"/>
      <c r="B204" s="139"/>
      <c r="C204" s="79"/>
      <c r="D204" s="71"/>
      <c r="E204" s="80"/>
      <c r="F204" s="81"/>
      <c r="G204" s="80"/>
      <c r="H204" s="71"/>
      <c r="I204" s="81"/>
      <c r="J204" s="80"/>
      <c r="K204" s="124"/>
      <c r="L204" s="145"/>
      <c r="M204" s="113"/>
    </row>
    <row r="205" spans="1:13" ht="24" customHeight="1" x14ac:dyDescent="0.4">
      <c r="A205" s="130"/>
      <c r="B205" s="139"/>
      <c r="C205" s="79"/>
      <c r="D205" s="71"/>
      <c r="E205" s="80"/>
      <c r="F205" s="81"/>
      <c r="G205" s="80"/>
      <c r="H205" s="71"/>
      <c r="I205" s="81"/>
      <c r="J205" s="80"/>
      <c r="K205" s="124"/>
      <c r="L205" s="145"/>
      <c r="M205" s="113"/>
    </row>
    <row r="206" spans="1:13" ht="24" customHeight="1" x14ac:dyDescent="0.4">
      <c r="A206" s="130"/>
      <c r="B206" s="139"/>
      <c r="C206" s="79"/>
      <c r="D206" s="71"/>
      <c r="E206" s="80"/>
      <c r="F206" s="81"/>
      <c r="G206" s="80"/>
      <c r="H206" s="71"/>
      <c r="I206" s="81"/>
      <c r="J206" s="80"/>
      <c r="K206" s="124"/>
      <c r="L206" s="145"/>
      <c r="M206" s="113"/>
    </row>
    <row r="207" spans="1:13" ht="24" customHeight="1" x14ac:dyDescent="0.4">
      <c r="A207" s="130"/>
      <c r="B207" s="139"/>
      <c r="C207" s="79"/>
      <c r="D207" s="71"/>
      <c r="E207" s="80"/>
      <c r="F207" s="81"/>
      <c r="G207" s="80"/>
      <c r="H207" s="71"/>
      <c r="I207" s="81"/>
      <c r="J207" s="80"/>
      <c r="K207" s="124"/>
      <c r="L207" s="145"/>
      <c r="M207" s="113"/>
    </row>
    <row r="208" spans="1:13" ht="24" customHeight="1" x14ac:dyDescent="0.4">
      <c r="A208" s="130"/>
      <c r="B208" s="139"/>
      <c r="C208" s="79"/>
      <c r="D208" s="71"/>
      <c r="E208" s="80"/>
      <c r="F208" s="81"/>
      <c r="G208" s="80"/>
      <c r="H208" s="71"/>
      <c r="I208" s="81"/>
      <c r="J208" s="80"/>
      <c r="K208" s="124"/>
      <c r="L208" s="145"/>
      <c r="M208" s="113"/>
    </row>
    <row r="209" spans="1:13" ht="24" customHeight="1" x14ac:dyDescent="0.4">
      <c r="A209" s="130"/>
      <c r="B209" s="139"/>
      <c r="C209" s="79"/>
      <c r="D209" s="71"/>
      <c r="E209" s="80"/>
      <c r="F209" s="81"/>
      <c r="G209" s="80"/>
      <c r="H209" s="71"/>
      <c r="I209" s="81"/>
      <c r="J209" s="80"/>
      <c r="K209" s="124"/>
      <c r="L209" s="145"/>
      <c r="M209" s="113"/>
    </row>
    <row r="210" spans="1:13" ht="24" customHeight="1" x14ac:dyDescent="0.4">
      <c r="A210" s="130"/>
      <c r="B210" s="139"/>
      <c r="C210" s="79"/>
      <c r="D210" s="71"/>
      <c r="E210" s="80"/>
      <c r="F210" s="81"/>
      <c r="G210" s="80"/>
      <c r="H210" s="71"/>
      <c r="I210" s="81"/>
      <c r="J210" s="80"/>
      <c r="K210" s="124"/>
      <c r="L210" s="145"/>
      <c r="M210" s="113"/>
    </row>
    <row r="211" spans="1:13" ht="24" customHeight="1" x14ac:dyDescent="0.4">
      <c r="A211" s="130"/>
      <c r="B211" s="139"/>
      <c r="C211" s="79"/>
      <c r="D211" s="71"/>
      <c r="E211" s="80"/>
      <c r="F211" s="81"/>
      <c r="G211" s="80"/>
      <c r="H211" s="71"/>
      <c r="I211" s="81"/>
      <c r="J211" s="80"/>
      <c r="K211" s="124"/>
      <c r="L211" s="145"/>
      <c r="M211" s="113"/>
    </row>
    <row r="212" spans="1:13" ht="24" customHeight="1" x14ac:dyDescent="0.4">
      <c r="A212" s="130"/>
      <c r="B212" s="139"/>
      <c r="C212" s="79"/>
      <c r="D212" s="71"/>
      <c r="E212" s="80"/>
      <c r="F212" s="81"/>
      <c r="G212" s="80"/>
      <c r="H212" s="71"/>
      <c r="I212" s="81"/>
      <c r="J212" s="80"/>
      <c r="K212" s="124"/>
      <c r="L212" s="145"/>
      <c r="M212" s="113"/>
    </row>
    <row r="213" spans="1:13" ht="24" customHeight="1" x14ac:dyDescent="0.4">
      <c r="A213" s="130"/>
      <c r="B213" s="139"/>
      <c r="C213" s="79"/>
      <c r="D213" s="71"/>
      <c r="E213" s="80"/>
      <c r="F213" s="81"/>
      <c r="G213" s="80"/>
      <c r="H213" s="71"/>
      <c r="I213" s="81"/>
      <c r="J213" s="80"/>
      <c r="K213" s="124"/>
      <c r="L213" s="145"/>
      <c r="M213" s="113"/>
    </row>
    <row r="214" spans="1:13" ht="24" customHeight="1" x14ac:dyDescent="0.4">
      <c r="A214" s="130"/>
      <c r="B214" s="139"/>
      <c r="C214" s="79"/>
      <c r="D214" s="71"/>
      <c r="E214" s="80"/>
      <c r="F214" s="81"/>
      <c r="G214" s="80"/>
      <c r="H214" s="71"/>
      <c r="I214" s="81"/>
      <c r="J214" s="80"/>
      <c r="K214" s="124"/>
      <c r="L214" s="145"/>
      <c r="M214" s="113"/>
    </row>
    <row r="215" spans="1:13" ht="24" customHeight="1" x14ac:dyDescent="0.4">
      <c r="A215" s="130"/>
      <c r="B215" s="139"/>
      <c r="C215" s="79"/>
      <c r="D215" s="71"/>
      <c r="E215" s="80"/>
      <c r="F215" s="81"/>
      <c r="G215" s="80"/>
      <c r="H215" s="71"/>
      <c r="I215" s="81"/>
      <c r="J215" s="80"/>
      <c r="K215" s="124"/>
      <c r="L215" s="145"/>
      <c r="M215" s="113"/>
    </row>
    <row r="216" spans="1:13" ht="24" customHeight="1" x14ac:dyDescent="0.4">
      <c r="A216" s="130"/>
      <c r="B216" s="139"/>
      <c r="C216" s="79"/>
      <c r="D216" s="71"/>
      <c r="E216" s="80"/>
      <c r="F216" s="81"/>
      <c r="G216" s="80"/>
      <c r="H216" s="71"/>
      <c r="I216" s="81"/>
      <c r="J216" s="80"/>
      <c r="K216" s="124"/>
      <c r="L216" s="145"/>
      <c r="M216" s="113"/>
    </row>
    <row r="217" spans="1:13" ht="24" customHeight="1" x14ac:dyDescent="0.4">
      <c r="A217" s="130"/>
      <c r="B217" s="139"/>
      <c r="C217" s="79"/>
      <c r="D217" s="71"/>
      <c r="E217" s="80"/>
      <c r="F217" s="81"/>
      <c r="G217" s="80"/>
      <c r="H217" s="71"/>
      <c r="I217" s="81"/>
      <c r="J217" s="80"/>
      <c r="K217" s="124"/>
      <c r="L217" s="145"/>
      <c r="M217" s="113"/>
    </row>
    <row r="218" spans="1:13" ht="24" customHeight="1" x14ac:dyDescent="0.4">
      <c r="A218" s="130"/>
      <c r="B218" s="139"/>
      <c r="C218" s="79"/>
      <c r="D218" s="71"/>
      <c r="E218" s="80"/>
      <c r="F218" s="81"/>
      <c r="G218" s="80"/>
      <c r="H218" s="71"/>
      <c r="I218" s="81"/>
      <c r="J218" s="80"/>
      <c r="K218" s="124"/>
      <c r="L218" s="145"/>
      <c r="M218" s="113"/>
    </row>
    <row r="219" spans="1:13" ht="24" customHeight="1" x14ac:dyDescent="0.4">
      <c r="A219" s="130"/>
      <c r="B219" s="139"/>
      <c r="C219" s="79"/>
      <c r="D219" s="71"/>
      <c r="E219" s="80"/>
      <c r="F219" s="81"/>
      <c r="G219" s="80"/>
      <c r="H219" s="71"/>
      <c r="I219" s="81"/>
      <c r="J219" s="80"/>
      <c r="K219" s="124"/>
      <c r="L219" s="145"/>
      <c r="M219" s="113"/>
    </row>
    <row r="220" spans="1:13" ht="24" customHeight="1" x14ac:dyDescent="0.4">
      <c r="A220" s="130"/>
      <c r="B220" s="139"/>
      <c r="C220" s="79"/>
      <c r="D220" s="71"/>
      <c r="E220" s="80"/>
      <c r="F220" s="81"/>
      <c r="G220" s="80"/>
      <c r="H220" s="71"/>
      <c r="I220" s="81"/>
      <c r="J220" s="80"/>
      <c r="K220" s="124"/>
      <c r="L220" s="145"/>
      <c r="M220" s="113"/>
    </row>
    <row r="221" spans="1:13" ht="24" customHeight="1" x14ac:dyDescent="0.4">
      <c r="A221" s="130"/>
      <c r="B221" s="139"/>
      <c r="C221" s="79"/>
      <c r="D221" s="71"/>
      <c r="E221" s="80"/>
      <c r="F221" s="81"/>
      <c r="G221" s="80"/>
      <c r="H221" s="71"/>
      <c r="I221" s="81"/>
      <c r="J221" s="80"/>
      <c r="K221" s="124"/>
      <c r="L221" s="145"/>
      <c r="M221" s="113"/>
    </row>
    <row r="222" spans="1:13" ht="24" customHeight="1" x14ac:dyDescent="0.4">
      <c r="A222" s="130"/>
      <c r="B222" s="139"/>
      <c r="C222" s="79"/>
      <c r="D222" s="71"/>
      <c r="E222" s="80"/>
      <c r="F222" s="81"/>
      <c r="G222" s="80"/>
      <c r="H222" s="71"/>
      <c r="I222" s="81"/>
      <c r="J222" s="80"/>
      <c r="K222" s="124"/>
      <c r="L222" s="145"/>
      <c r="M222" s="113"/>
    </row>
    <row r="223" spans="1:13" ht="24" customHeight="1" x14ac:dyDescent="0.4">
      <c r="A223" s="130"/>
      <c r="B223" s="139"/>
      <c r="C223" s="79"/>
      <c r="D223" s="71"/>
      <c r="E223" s="80"/>
      <c r="F223" s="81"/>
      <c r="G223" s="80"/>
      <c r="H223" s="71"/>
      <c r="I223" s="81"/>
      <c r="J223" s="80"/>
      <c r="K223" s="124"/>
      <c r="L223" s="145"/>
      <c r="M223" s="113"/>
    </row>
    <row r="224" spans="1:13" ht="24" customHeight="1" x14ac:dyDescent="0.4">
      <c r="A224" s="130"/>
      <c r="B224" s="139"/>
      <c r="C224" s="79"/>
      <c r="D224" s="71"/>
      <c r="E224" s="80"/>
      <c r="F224" s="81"/>
      <c r="G224" s="80"/>
      <c r="H224" s="71"/>
      <c r="I224" s="81"/>
      <c r="J224" s="80"/>
      <c r="K224" s="124"/>
      <c r="L224" s="145"/>
      <c r="M224" s="113"/>
    </row>
    <row r="225" spans="1:13" ht="24" customHeight="1" x14ac:dyDescent="0.4">
      <c r="A225" s="130"/>
      <c r="B225" s="139"/>
      <c r="C225" s="79"/>
      <c r="D225" s="71"/>
      <c r="E225" s="80"/>
      <c r="F225" s="81"/>
      <c r="G225" s="80"/>
      <c r="H225" s="71"/>
      <c r="I225" s="81"/>
      <c r="J225" s="80"/>
      <c r="K225" s="124"/>
      <c r="L225" s="145"/>
      <c r="M225" s="113"/>
    </row>
    <row r="226" spans="1:13" ht="24" customHeight="1" x14ac:dyDescent="0.4">
      <c r="A226" s="130"/>
      <c r="B226" s="139"/>
      <c r="C226" s="79"/>
      <c r="D226" s="71"/>
      <c r="E226" s="80"/>
      <c r="F226" s="81"/>
      <c r="G226" s="80"/>
      <c r="H226" s="71"/>
      <c r="I226" s="81"/>
      <c r="J226" s="80"/>
      <c r="K226" s="124"/>
      <c r="L226" s="145"/>
      <c r="M226" s="113"/>
    </row>
    <row r="227" spans="1:13" ht="24" customHeight="1" x14ac:dyDescent="0.4">
      <c r="A227" s="130"/>
      <c r="B227" s="139"/>
      <c r="C227" s="79"/>
      <c r="D227" s="71"/>
      <c r="E227" s="80"/>
      <c r="F227" s="81"/>
      <c r="G227" s="80"/>
      <c r="H227" s="71"/>
      <c r="I227" s="81"/>
      <c r="J227" s="80"/>
      <c r="K227" s="124"/>
      <c r="L227" s="145"/>
      <c r="M227" s="113"/>
    </row>
    <row r="228" spans="1:13" ht="24" customHeight="1" x14ac:dyDescent="0.4">
      <c r="A228" s="130"/>
      <c r="B228" s="139"/>
      <c r="C228" s="79"/>
      <c r="D228" s="71"/>
      <c r="E228" s="80"/>
      <c r="F228" s="81"/>
      <c r="G228" s="80"/>
      <c r="H228" s="71"/>
      <c r="I228" s="81"/>
      <c r="J228" s="80"/>
      <c r="K228" s="124"/>
      <c r="L228" s="145"/>
      <c r="M228" s="113"/>
    </row>
    <row r="229" spans="1:13" ht="24" customHeight="1" x14ac:dyDescent="0.4">
      <c r="A229" s="130"/>
      <c r="B229" s="139"/>
      <c r="C229" s="79"/>
      <c r="D229" s="71"/>
      <c r="E229" s="80"/>
      <c r="F229" s="81"/>
      <c r="G229" s="80"/>
      <c r="H229" s="71"/>
      <c r="I229" s="81"/>
      <c r="J229" s="80"/>
      <c r="K229" s="124"/>
      <c r="L229" s="145"/>
      <c r="M229" s="113"/>
    </row>
    <row r="230" spans="1:13" ht="24" customHeight="1" x14ac:dyDescent="0.4">
      <c r="A230" s="130"/>
      <c r="B230" s="139"/>
      <c r="C230" s="79"/>
      <c r="D230" s="71"/>
      <c r="E230" s="80"/>
      <c r="F230" s="81"/>
      <c r="G230" s="80"/>
      <c r="H230" s="71"/>
      <c r="I230" s="81"/>
      <c r="J230" s="80"/>
      <c r="K230" s="124"/>
      <c r="L230" s="145"/>
      <c r="M230" s="113"/>
    </row>
    <row r="231" spans="1:13" ht="24" customHeight="1" x14ac:dyDescent="0.4">
      <c r="A231" s="130"/>
      <c r="B231" s="139"/>
      <c r="C231" s="79"/>
      <c r="D231" s="71"/>
      <c r="E231" s="80"/>
      <c r="F231" s="81"/>
      <c r="G231" s="80"/>
      <c r="H231" s="71"/>
      <c r="I231" s="81"/>
      <c r="J231" s="80"/>
      <c r="K231" s="124"/>
      <c r="L231" s="145"/>
      <c r="M231" s="113"/>
    </row>
    <row r="232" spans="1:13" ht="24" customHeight="1" x14ac:dyDescent="0.4">
      <c r="A232" s="130"/>
      <c r="B232" s="139"/>
      <c r="C232" s="79"/>
      <c r="D232" s="71"/>
      <c r="E232" s="80"/>
      <c r="F232" s="81"/>
      <c r="G232" s="80"/>
      <c r="H232" s="71"/>
      <c r="I232" s="81"/>
      <c r="J232" s="80"/>
      <c r="K232" s="124"/>
      <c r="L232" s="145"/>
      <c r="M232" s="113"/>
    </row>
    <row r="233" spans="1:13" ht="24" customHeight="1" x14ac:dyDescent="0.4">
      <c r="A233" s="130"/>
      <c r="B233" s="139"/>
      <c r="C233" s="79"/>
      <c r="D233" s="71"/>
      <c r="E233" s="80"/>
      <c r="F233" s="81"/>
      <c r="G233" s="80"/>
      <c r="H233" s="71"/>
      <c r="I233" s="81"/>
      <c r="J233" s="80"/>
      <c r="K233" s="124"/>
      <c r="L233" s="145"/>
      <c r="M233" s="113"/>
    </row>
    <row r="234" spans="1:13" ht="24" customHeight="1" x14ac:dyDescent="0.4">
      <c r="B234" s="140"/>
      <c r="K234" s="125"/>
    </row>
    <row r="235" spans="1:13" ht="24" customHeight="1" x14ac:dyDescent="0.4">
      <c r="B235" s="140"/>
      <c r="K235" s="125"/>
    </row>
    <row r="236" spans="1:13" ht="24" customHeight="1" x14ac:dyDescent="0.4">
      <c r="B236" s="140"/>
      <c r="K236" s="125"/>
    </row>
    <row r="237" spans="1:13" ht="24" customHeight="1" x14ac:dyDescent="0.4">
      <c r="B237" s="140"/>
      <c r="K237" s="125"/>
    </row>
    <row r="238" spans="1:13" ht="24" customHeight="1" x14ac:dyDescent="0.4">
      <c r="B238" s="140"/>
      <c r="K238" s="125"/>
    </row>
    <row r="239" spans="1:13" ht="24" customHeight="1" x14ac:dyDescent="0.4">
      <c r="B239" s="140"/>
      <c r="K239" s="125"/>
    </row>
    <row r="240" spans="1:13" ht="24" customHeight="1" x14ac:dyDescent="0.4">
      <c r="B240" s="140"/>
      <c r="K240" s="125"/>
    </row>
    <row r="241" spans="2:11" ht="24" customHeight="1" x14ac:dyDescent="0.4">
      <c r="B241" s="140"/>
      <c r="K241" s="125"/>
    </row>
    <row r="242" spans="2:11" ht="24" customHeight="1" x14ac:dyDescent="0.4">
      <c r="B242" s="140"/>
      <c r="K242" s="125"/>
    </row>
    <row r="243" spans="2:11" ht="24" customHeight="1" x14ac:dyDescent="0.4">
      <c r="B243" s="140"/>
      <c r="K243" s="125"/>
    </row>
    <row r="244" spans="2:11" ht="24" customHeight="1" x14ac:dyDescent="0.4">
      <c r="B244" s="140"/>
      <c r="K244" s="125"/>
    </row>
    <row r="245" spans="2:11" ht="24" customHeight="1" x14ac:dyDescent="0.4">
      <c r="B245" s="140"/>
      <c r="K245" s="125"/>
    </row>
    <row r="246" spans="2:11" ht="24" customHeight="1" x14ac:dyDescent="0.4">
      <c r="B246" s="140"/>
      <c r="K246" s="125"/>
    </row>
    <row r="247" spans="2:11" ht="24" customHeight="1" x14ac:dyDescent="0.4">
      <c r="B247" s="140"/>
      <c r="K247" s="125"/>
    </row>
    <row r="248" spans="2:11" ht="24" customHeight="1" x14ac:dyDescent="0.4">
      <c r="B248" s="140"/>
      <c r="K248" s="125"/>
    </row>
    <row r="249" spans="2:11" ht="24" customHeight="1" x14ac:dyDescent="0.4">
      <c r="B249" s="140"/>
      <c r="K249" s="125"/>
    </row>
    <row r="250" spans="2:11" ht="24" customHeight="1" x14ac:dyDescent="0.4">
      <c r="B250" s="140"/>
      <c r="K250" s="125"/>
    </row>
    <row r="251" spans="2:11" ht="24" customHeight="1" x14ac:dyDescent="0.4">
      <c r="B251" s="140"/>
      <c r="K251" s="125"/>
    </row>
    <row r="252" spans="2:11" ht="24" customHeight="1" x14ac:dyDescent="0.4">
      <c r="B252" s="140"/>
      <c r="K252" s="125"/>
    </row>
    <row r="253" spans="2:11" ht="24" customHeight="1" x14ac:dyDescent="0.4">
      <c r="B253" s="140"/>
      <c r="K253" s="125"/>
    </row>
    <row r="254" spans="2:11" ht="24" customHeight="1" x14ac:dyDescent="0.4">
      <c r="B254" s="140"/>
      <c r="K254" s="125"/>
    </row>
    <row r="255" spans="2:11" ht="24" customHeight="1" x14ac:dyDescent="0.4">
      <c r="B255" s="140"/>
      <c r="K255" s="125"/>
    </row>
    <row r="256" spans="2:11" ht="24" customHeight="1" x14ac:dyDescent="0.4">
      <c r="B256" s="140"/>
      <c r="K256" s="125"/>
    </row>
    <row r="257" spans="2:11" ht="24" customHeight="1" x14ac:dyDescent="0.4">
      <c r="B257" s="140"/>
      <c r="K257" s="125"/>
    </row>
    <row r="258" spans="2:11" ht="24" customHeight="1" x14ac:dyDescent="0.4">
      <c r="B258" s="140"/>
      <c r="K258" s="125"/>
    </row>
    <row r="259" spans="2:11" ht="24" customHeight="1" x14ac:dyDescent="0.4">
      <c r="B259" s="140"/>
      <c r="K259" s="125"/>
    </row>
    <row r="260" spans="2:11" ht="24" customHeight="1" x14ac:dyDescent="0.4">
      <c r="B260" s="140"/>
      <c r="K260" s="125"/>
    </row>
    <row r="261" spans="2:11" ht="24" customHeight="1" x14ac:dyDescent="0.4">
      <c r="B261" s="140"/>
      <c r="K261" s="125"/>
    </row>
    <row r="262" spans="2:11" ht="24" customHeight="1" x14ac:dyDescent="0.4">
      <c r="B262" s="140"/>
      <c r="K262" s="125"/>
    </row>
    <row r="263" spans="2:11" ht="24" customHeight="1" x14ac:dyDescent="0.4">
      <c r="B263" s="140"/>
      <c r="K263" s="125"/>
    </row>
    <row r="264" spans="2:11" ht="24" customHeight="1" x14ac:dyDescent="0.4">
      <c r="B264" s="140"/>
      <c r="K264" s="125"/>
    </row>
    <row r="265" spans="2:11" ht="24" customHeight="1" x14ac:dyDescent="0.4">
      <c r="B265" s="140"/>
      <c r="K265" s="125"/>
    </row>
    <row r="266" spans="2:11" ht="24" customHeight="1" x14ac:dyDescent="0.4">
      <c r="B266" s="140"/>
      <c r="K266" s="125"/>
    </row>
    <row r="267" spans="2:11" ht="24" customHeight="1" x14ac:dyDescent="0.4">
      <c r="B267" s="140"/>
      <c r="K267" s="125"/>
    </row>
    <row r="268" spans="2:11" ht="24" customHeight="1" x14ac:dyDescent="0.4">
      <c r="B268" s="140"/>
      <c r="K268" s="125"/>
    </row>
    <row r="269" spans="2:11" ht="24" customHeight="1" x14ac:dyDescent="0.4">
      <c r="B269" s="140"/>
      <c r="K269" s="125"/>
    </row>
    <row r="270" spans="2:11" ht="24" customHeight="1" x14ac:dyDescent="0.4">
      <c r="B270" s="140"/>
      <c r="K270" s="125"/>
    </row>
    <row r="271" spans="2:11" ht="24" customHeight="1" x14ac:dyDescent="0.4">
      <c r="B271" s="140"/>
      <c r="K271" s="125"/>
    </row>
    <row r="272" spans="2:11" ht="24" customHeight="1" x14ac:dyDescent="0.4">
      <c r="B272" s="140"/>
      <c r="K272" s="125"/>
    </row>
    <row r="273" spans="2:11" ht="24" customHeight="1" x14ac:dyDescent="0.4">
      <c r="B273" s="140"/>
      <c r="K273" s="125"/>
    </row>
    <row r="274" spans="2:11" ht="24" customHeight="1" x14ac:dyDescent="0.4">
      <c r="B274" s="140"/>
      <c r="K274" s="125"/>
    </row>
    <row r="275" spans="2:11" ht="24" customHeight="1" x14ac:dyDescent="0.4">
      <c r="B275" s="140"/>
      <c r="K275" s="125"/>
    </row>
    <row r="276" spans="2:11" ht="24" customHeight="1" x14ac:dyDescent="0.4">
      <c r="B276" s="140"/>
      <c r="K276" s="125"/>
    </row>
    <row r="277" spans="2:11" ht="24" customHeight="1" x14ac:dyDescent="0.4">
      <c r="B277" s="140"/>
      <c r="K277" s="125"/>
    </row>
    <row r="278" spans="2:11" ht="24" customHeight="1" x14ac:dyDescent="0.4">
      <c r="B278" s="140"/>
      <c r="K278" s="125"/>
    </row>
    <row r="279" spans="2:11" ht="24" customHeight="1" x14ac:dyDescent="0.4">
      <c r="B279" s="140"/>
      <c r="K279" s="125"/>
    </row>
    <row r="280" spans="2:11" ht="24" customHeight="1" x14ac:dyDescent="0.4">
      <c r="B280" s="140"/>
      <c r="K280" s="125"/>
    </row>
    <row r="281" spans="2:11" ht="24" customHeight="1" x14ac:dyDescent="0.4">
      <c r="B281" s="140"/>
      <c r="K281" s="125"/>
    </row>
    <row r="282" spans="2:11" ht="24" customHeight="1" x14ac:dyDescent="0.4">
      <c r="B282" s="140"/>
      <c r="K282" s="125"/>
    </row>
    <row r="283" spans="2:11" ht="24" customHeight="1" x14ac:dyDescent="0.4">
      <c r="B283" s="140"/>
      <c r="K283" s="125"/>
    </row>
    <row r="284" spans="2:11" ht="24" customHeight="1" x14ac:dyDescent="0.4">
      <c r="B284" s="140"/>
      <c r="K284" s="125"/>
    </row>
    <row r="285" spans="2:11" ht="24" customHeight="1" x14ac:dyDescent="0.4">
      <c r="B285" s="140"/>
      <c r="K285" s="125"/>
    </row>
    <row r="286" spans="2:11" ht="24" customHeight="1" x14ac:dyDescent="0.4">
      <c r="B286" s="140"/>
      <c r="K286" s="125"/>
    </row>
    <row r="287" spans="2:11" ht="24" customHeight="1" x14ac:dyDescent="0.4">
      <c r="B287" s="140"/>
      <c r="K287" s="125"/>
    </row>
    <row r="288" spans="2:11" ht="24" customHeight="1" x14ac:dyDescent="0.4">
      <c r="B288" s="140"/>
      <c r="K288" s="125"/>
    </row>
    <row r="289" spans="2:11" ht="24" customHeight="1" x14ac:dyDescent="0.4">
      <c r="B289" s="140"/>
      <c r="K289" s="125"/>
    </row>
    <row r="290" spans="2:11" ht="24" customHeight="1" x14ac:dyDescent="0.4">
      <c r="B290" s="140"/>
      <c r="K290" s="125"/>
    </row>
    <row r="291" spans="2:11" ht="24" customHeight="1" x14ac:dyDescent="0.4">
      <c r="B291" s="140"/>
      <c r="K291" s="125"/>
    </row>
    <row r="292" spans="2:11" ht="24" customHeight="1" x14ac:dyDescent="0.4">
      <c r="B292" s="140"/>
      <c r="K292" s="125"/>
    </row>
    <row r="293" spans="2:11" ht="24" customHeight="1" x14ac:dyDescent="0.4">
      <c r="B293" s="140"/>
      <c r="K293" s="125"/>
    </row>
    <row r="294" spans="2:11" ht="24" customHeight="1" x14ac:dyDescent="0.4">
      <c r="B294" s="140"/>
      <c r="K294" s="125"/>
    </row>
    <row r="295" spans="2:11" ht="24" customHeight="1" x14ac:dyDescent="0.4">
      <c r="B295" s="140"/>
      <c r="K295" s="125"/>
    </row>
    <row r="296" spans="2:11" ht="24" customHeight="1" x14ac:dyDescent="0.4">
      <c r="B296" s="140"/>
      <c r="K296" s="125"/>
    </row>
    <row r="297" spans="2:11" ht="24" customHeight="1" x14ac:dyDescent="0.4">
      <c r="B297" s="140"/>
      <c r="K297" s="125"/>
    </row>
    <row r="298" spans="2:11" ht="24" customHeight="1" x14ac:dyDescent="0.4">
      <c r="B298" s="140"/>
      <c r="K298" s="125"/>
    </row>
    <row r="299" spans="2:11" ht="24" customHeight="1" x14ac:dyDescent="0.4">
      <c r="B299" s="140"/>
      <c r="K299" s="125"/>
    </row>
    <row r="300" spans="2:11" ht="24" customHeight="1" x14ac:dyDescent="0.4">
      <c r="B300" s="140"/>
      <c r="K300" s="125"/>
    </row>
    <row r="301" spans="2:11" ht="24" customHeight="1" x14ac:dyDescent="0.4">
      <c r="B301" s="140"/>
      <c r="K301" s="125"/>
    </row>
    <row r="302" spans="2:11" ht="24" customHeight="1" x14ac:dyDescent="0.4">
      <c r="B302" s="140"/>
      <c r="K302" s="125"/>
    </row>
    <row r="303" spans="2:11" ht="24" customHeight="1" x14ac:dyDescent="0.4">
      <c r="B303" s="140"/>
      <c r="K303" s="125"/>
    </row>
    <row r="304" spans="2:11" ht="24" customHeight="1" x14ac:dyDescent="0.4">
      <c r="B304" s="140"/>
      <c r="K304" s="125"/>
    </row>
    <row r="305" spans="2:11" ht="24" customHeight="1" x14ac:dyDescent="0.4">
      <c r="B305" s="140"/>
      <c r="K305" s="125"/>
    </row>
    <row r="306" spans="2:11" ht="24" customHeight="1" x14ac:dyDescent="0.4">
      <c r="B306" s="140"/>
      <c r="K306" s="125"/>
    </row>
    <row r="307" spans="2:11" ht="24" customHeight="1" x14ac:dyDescent="0.4">
      <c r="B307" s="140"/>
      <c r="K307" s="125"/>
    </row>
    <row r="308" spans="2:11" ht="24" customHeight="1" x14ac:dyDescent="0.4">
      <c r="B308" s="140"/>
      <c r="K308" s="125"/>
    </row>
    <row r="309" spans="2:11" ht="24" customHeight="1" x14ac:dyDescent="0.4">
      <c r="B309" s="140"/>
      <c r="K309" s="125"/>
    </row>
    <row r="310" spans="2:11" ht="24" customHeight="1" x14ac:dyDescent="0.4">
      <c r="B310" s="140"/>
      <c r="K310" s="125"/>
    </row>
    <row r="311" spans="2:11" ht="24" customHeight="1" x14ac:dyDescent="0.4">
      <c r="B311" s="140"/>
      <c r="K311" s="125"/>
    </row>
    <row r="312" spans="2:11" ht="24" customHeight="1" x14ac:dyDescent="0.4">
      <c r="B312" s="140"/>
      <c r="K312" s="125"/>
    </row>
    <row r="313" spans="2:11" ht="24" customHeight="1" x14ac:dyDescent="0.4">
      <c r="B313" s="140"/>
      <c r="K313" s="125"/>
    </row>
    <row r="314" spans="2:11" ht="24" customHeight="1" x14ac:dyDescent="0.4">
      <c r="B314" s="140"/>
      <c r="K314" s="125"/>
    </row>
    <row r="315" spans="2:11" ht="24" customHeight="1" x14ac:dyDescent="0.4">
      <c r="B315" s="140"/>
      <c r="K315" s="125"/>
    </row>
    <row r="316" spans="2:11" ht="24" customHeight="1" x14ac:dyDescent="0.4">
      <c r="B316" s="140"/>
      <c r="K316" s="125"/>
    </row>
    <row r="317" spans="2:11" ht="24" customHeight="1" x14ac:dyDescent="0.4">
      <c r="B317" s="140"/>
      <c r="K317" s="125"/>
    </row>
    <row r="318" spans="2:11" ht="24" customHeight="1" x14ac:dyDescent="0.4">
      <c r="B318" s="140"/>
      <c r="K318" s="125"/>
    </row>
    <row r="319" spans="2:11" ht="24" customHeight="1" x14ac:dyDescent="0.4">
      <c r="B319" s="140"/>
      <c r="K319" s="125"/>
    </row>
    <row r="320" spans="2:11" ht="24" customHeight="1" x14ac:dyDescent="0.4">
      <c r="B320" s="140"/>
      <c r="K320" s="125"/>
    </row>
    <row r="321" spans="2:11" ht="24" customHeight="1" x14ac:dyDescent="0.4">
      <c r="B321" s="140"/>
      <c r="K321" s="125"/>
    </row>
    <row r="322" spans="2:11" ht="24" customHeight="1" x14ac:dyDescent="0.4">
      <c r="B322" s="140"/>
      <c r="K322" s="125"/>
    </row>
    <row r="323" spans="2:11" ht="24" customHeight="1" x14ac:dyDescent="0.4">
      <c r="B323" s="140"/>
      <c r="K323" s="125"/>
    </row>
    <row r="324" spans="2:11" ht="24" customHeight="1" x14ac:dyDescent="0.4">
      <c r="B324" s="140"/>
      <c r="K324" s="125"/>
    </row>
    <row r="325" spans="2:11" ht="24" customHeight="1" x14ac:dyDescent="0.4">
      <c r="B325" s="140"/>
      <c r="K325" s="125"/>
    </row>
    <row r="326" spans="2:11" ht="24" customHeight="1" x14ac:dyDescent="0.4">
      <c r="B326" s="140"/>
      <c r="K326" s="125"/>
    </row>
    <row r="327" spans="2:11" ht="24" customHeight="1" x14ac:dyDescent="0.4">
      <c r="B327" s="140"/>
      <c r="K327" s="125"/>
    </row>
    <row r="328" spans="2:11" ht="24" customHeight="1" x14ac:dyDescent="0.4">
      <c r="B328" s="140"/>
      <c r="K328" s="125"/>
    </row>
    <row r="329" spans="2:11" ht="24" customHeight="1" x14ac:dyDescent="0.4">
      <c r="B329" s="140"/>
      <c r="K329" s="125"/>
    </row>
    <row r="330" spans="2:11" ht="24" customHeight="1" x14ac:dyDescent="0.4">
      <c r="B330" s="140"/>
      <c r="K330" s="125"/>
    </row>
    <row r="331" spans="2:11" ht="24" customHeight="1" x14ac:dyDescent="0.4">
      <c r="B331" s="140"/>
      <c r="K331" s="125"/>
    </row>
    <row r="332" spans="2:11" ht="24" customHeight="1" x14ac:dyDescent="0.4">
      <c r="B332" s="140"/>
      <c r="K332" s="125"/>
    </row>
    <row r="333" spans="2:11" ht="24" customHeight="1" x14ac:dyDescent="0.4">
      <c r="B333" s="140"/>
      <c r="K333" s="125"/>
    </row>
    <row r="334" spans="2:11" ht="24" customHeight="1" x14ac:dyDescent="0.4">
      <c r="B334" s="140"/>
      <c r="K334" s="125"/>
    </row>
    <row r="335" spans="2:11" ht="24" customHeight="1" x14ac:dyDescent="0.4">
      <c r="B335" s="140"/>
      <c r="K335" s="125"/>
    </row>
    <row r="336" spans="2:11" ht="24" customHeight="1" x14ac:dyDescent="0.4">
      <c r="B336" s="140"/>
      <c r="K336" s="125"/>
    </row>
    <row r="337" spans="2:11" ht="24" customHeight="1" x14ac:dyDescent="0.4">
      <c r="B337" s="140"/>
      <c r="K337" s="125"/>
    </row>
    <row r="338" spans="2:11" ht="24" customHeight="1" x14ac:dyDescent="0.4">
      <c r="B338" s="140"/>
      <c r="K338" s="125"/>
    </row>
    <row r="339" spans="2:11" ht="24" customHeight="1" x14ac:dyDescent="0.4">
      <c r="B339" s="140"/>
      <c r="K339" s="125"/>
    </row>
    <row r="340" spans="2:11" ht="24" customHeight="1" x14ac:dyDescent="0.4">
      <c r="B340" s="140"/>
      <c r="K340" s="125"/>
    </row>
    <row r="341" spans="2:11" ht="24" customHeight="1" x14ac:dyDescent="0.4">
      <c r="B341" s="140"/>
      <c r="K341" s="125"/>
    </row>
    <row r="342" spans="2:11" ht="24" customHeight="1" x14ac:dyDescent="0.4">
      <c r="B342" s="140"/>
      <c r="K342" s="125"/>
    </row>
    <row r="343" spans="2:11" ht="24" customHeight="1" x14ac:dyDescent="0.4">
      <c r="B343" s="140"/>
      <c r="K343" s="125"/>
    </row>
    <row r="344" spans="2:11" ht="24" customHeight="1" x14ac:dyDescent="0.4">
      <c r="B344" s="140"/>
      <c r="K344" s="125"/>
    </row>
    <row r="345" spans="2:11" ht="24" customHeight="1" x14ac:dyDescent="0.4">
      <c r="B345" s="140"/>
      <c r="K345" s="125"/>
    </row>
    <row r="346" spans="2:11" ht="24" customHeight="1" x14ac:dyDescent="0.4">
      <c r="B346" s="140"/>
      <c r="K346" s="125"/>
    </row>
    <row r="347" spans="2:11" ht="24" customHeight="1" x14ac:dyDescent="0.4">
      <c r="B347" s="140"/>
      <c r="K347" s="125"/>
    </row>
    <row r="348" spans="2:11" ht="24" customHeight="1" x14ac:dyDescent="0.4">
      <c r="B348" s="140"/>
      <c r="K348" s="125"/>
    </row>
    <row r="349" spans="2:11" ht="24" customHeight="1" x14ac:dyDescent="0.4">
      <c r="B349" s="140"/>
      <c r="K349" s="125"/>
    </row>
    <row r="350" spans="2:11" ht="24" customHeight="1" x14ac:dyDescent="0.4">
      <c r="B350" s="140"/>
      <c r="K350" s="125"/>
    </row>
    <row r="351" spans="2:11" ht="24" customHeight="1" x14ac:dyDescent="0.4">
      <c r="B351" s="140"/>
      <c r="K351" s="125"/>
    </row>
    <row r="352" spans="2:11" ht="24" customHeight="1" x14ac:dyDescent="0.4">
      <c r="B352" s="140"/>
      <c r="K352" s="125"/>
    </row>
    <row r="353" spans="2:11" ht="24" customHeight="1" x14ac:dyDescent="0.4">
      <c r="B353" s="140"/>
      <c r="K353" s="125"/>
    </row>
    <row r="354" spans="2:11" ht="24" customHeight="1" x14ac:dyDescent="0.4">
      <c r="B354" s="140"/>
      <c r="K354" s="125"/>
    </row>
    <row r="355" spans="2:11" ht="24" customHeight="1" x14ac:dyDescent="0.4">
      <c r="B355" s="140"/>
      <c r="K355" s="125"/>
    </row>
    <row r="356" spans="2:11" ht="24" customHeight="1" x14ac:dyDescent="0.4">
      <c r="B356" s="140"/>
      <c r="K356" s="125"/>
    </row>
    <row r="357" spans="2:11" ht="24" customHeight="1" x14ac:dyDescent="0.4">
      <c r="B357" s="140"/>
      <c r="K357" s="125"/>
    </row>
    <row r="358" spans="2:11" ht="24" customHeight="1" x14ac:dyDescent="0.4">
      <c r="B358" s="140"/>
      <c r="K358" s="125"/>
    </row>
    <row r="359" spans="2:11" ht="24" customHeight="1" x14ac:dyDescent="0.4">
      <c r="B359" s="140"/>
      <c r="K359" s="125"/>
    </row>
    <row r="360" spans="2:11" ht="24" customHeight="1" x14ac:dyDescent="0.4">
      <c r="B360" s="140"/>
      <c r="K360" s="125"/>
    </row>
    <row r="361" spans="2:11" ht="24" customHeight="1" x14ac:dyDescent="0.4">
      <c r="B361" s="140"/>
      <c r="K361" s="125"/>
    </row>
    <row r="362" spans="2:11" ht="24" customHeight="1" x14ac:dyDescent="0.4">
      <c r="B362" s="140"/>
      <c r="K362" s="125"/>
    </row>
    <row r="363" spans="2:11" ht="24" customHeight="1" x14ac:dyDescent="0.4">
      <c r="B363" s="140"/>
      <c r="K363" s="125"/>
    </row>
    <row r="364" spans="2:11" ht="24" customHeight="1" x14ac:dyDescent="0.4">
      <c r="B364" s="140"/>
      <c r="K364" s="125"/>
    </row>
    <row r="365" spans="2:11" ht="24" customHeight="1" x14ac:dyDescent="0.4">
      <c r="B365" s="140"/>
      <c r="K365" s="125"/>
    </row>
    <row r="366" spans="2:11" ht="24" customHeight="1" x14ac:dyDescent="0.4">
      <c r="B366" s="140"/>
      <c r="K366" s="125"/>
    </row>
    <row r="367" spans="2:11" ht="24" customHeight="1" x14ac:dyDescent="0.4">
      <c r="B367" s="140"/>
      <c r="K367" s="125"/>
    </row>
    <row r="368" spans="2:11" ht="24" customHeight="1" x14ac:dyDescent="0.4">
      <c r="B368" s="140"/>
      <c r="K368" s="125"/>
    </row>
    <row r="369" spans="2:11" ht="24" customHeight="1" x14ac:dyDescent="0.4">
      <c r="B369" s="140"/>
      <c r="K369" s="125"/>
    </row>
    <row r="370" spans="2:11" ht="24" customHeight="1" x14ac:dyDescent="0.4">
      <c r="B370" s="140"/>
      <c r="K370" s="125"/>
    </row>
    <row r="371" spans="2:11" ht="24" customHeight="1" x14ac:dyDescent="0.4">
      <c r="B371" s="140"/>
      <c r="K371" s="125"/>
    </row>
    <row r="372" spans="2:11" ht="24" customHeight="1" x14ac:dyDescent="0.4">
      <c r="B372" s="140"/>
      <c r="K372" s="125"/>
    </row>
    <row r="373" spans="2:11" ht="24" customHeight="1" x14ac:dyDescent="0.4">
      <c r="B373" s="140"/>
      <c r="K373" s="125"/>
    </row>
    <row r="374" spans="2:11" ht="24" customHeight="1" x14ac:dyDescent="0.4">
      <c r="B374" s="140"/>
      <c r="K374" s="125"/>
    </row>
    <row r="375" spans="2:11" ht="24" customHeight="1" x14ac:dyDescent="0.4">
      <c r="B375" s="140"/>
      <c r="K375" s="125"/>
    </row>
    <row r="376" spans="2:11" ht="24" customHeight="1" x14ac:dyDescent="0.4">
      <c r="B376" s="140"/>
      <c r="K376" s="125"/>
    </row>
    <row r="377" spans="2:11" ht="24" customHeight="1" x14ac:dyDescent="0.4">
      <c r="B377" s="140"/>
      <c r="K377" s="125"/>
    </row>
    <row r="378" spans="2:11" ht="24" customHeight="1" x14ac:dyDescent="0.4">
      <c r="B378" s="140"/>
      <c r="K378" s="125"/>
    </row>
    <row r="379" spans="2:11" ht="24" customHeight="1" x14ac:dyDescent="0.4">
      <c r="B379" s="140"/>
      <c r="K379" s="125"/>
    </row>
    <row r="380" spans="2:11" ht="24" customHeight="1" x14ac:dyDescent="0.4">
      <c r="B380" s="140"/>
      <c r="K380" s="125"/>
    </row>
    <row r="381" spans="2:11" ht="24" customHeight="1" x14ac:dyDescent="0.4">
      <c r="B381" s="140"/>
      <c r="K381" s="125"/>
    </row>
    <row r="382" spans="2:11" ht="24" customHeight="1" x14ac:dyDescent="0.4">
      <c r="B382" s="140"/>
      <c r="K382" s="125"/>
    </row>
    <row r="383" spans="2:11" ht="24" customHeight="1" x14ac:dyDescent="0.4">
      <c r="B383" s="140"/>
      <c r="K383" s="125"/>
    </row>
    <row r="384" spans="2:11" ht="24" customHeight="1" x14ac:dyDescent="0.4">
      <c r="B384" s="140"/>
      <c r="K384" s="125"/>
    </row>
    <row r="385" spans="2:11" ht="24" customHeight="1" x14ac:dyDescent="0.4">
      <c r="B385" s="140"/>
      <c r="K385" s="125"/>
    </row>
    <row r="386" spans="2:11" ht="24" customHeight="1" x14ac:dyDescent="0.4">
      <c r="B386" s="140"/>
      <c r="K386" s="125"/>
    </row>
    <row r="387" spans="2:11" ht="24" customHeight="1" x14ac:dyDescent="0.4">
      <c r="B387" s="140"/>
      <c r="K387" s="125"/>
    </row>
    <row r="388" spans="2:11" ht="24" customHeight="1" x14ac:dyDescent="0.4">
      <c r="B388" s="140"/>
      <c r="K388" s="125"/>
    </row>
    <row r="389" spans="2:11" ht="24" customHeight="1" x14ac:dyDescent="0.4">
      <c r="B389" s="140"/>
      <c r="K389" s="125"/>
    </row>
    <row r="390" spans="2:11" ht="24" customHeight="1" x14ac:dyDescent="0.4">
      <c r="B390" s="140"/>
      <c r="K390" s="125"/>
    </row>
    <row r="391" spans="2:11" ht="24" customHeight="1" x14ac:dyDescent="0.4">
      <c r="B391" s="140"/>
      <c r="K391" s="125"/>
    </row>
    <row r="392" spans="2:11" ht="24" customHeight="1" x14ac:dyDescent="0.4">
      <c r="B392" s="140"/>
      <c r="K392" s="125"/>
    </row>
    <row r="393" spans="2:11" ht="24" customHeight="1" x14ac:dyDescent="0.4">
      <c r="B393" s="140"/>
      <c r="K393" s="125"/>
    </row>
    <row r="394" spans="2:11" ht="24" customHeight="1" x14ac:dyDescent="0.4">
      <c r="B394" s="140"/>
      <c r="K394" s="125"/>
    </row>
    <row r="395" spans="2:11" ht="24" customHeight="1" x14ac:dyDescent="0.4">
      <c r="B395" s="140"/>
      <c r="K395" s="125"/>
    </row>
    <row r="396" spans="2:11" ht="24" customHeight="1" x14ac:dyDescent="0.4">
      <c r="B396" s="140"/>
      <c r="K396" s="125"/>
    </row>
    <row r="397" spans="2:11" ht="24" customHeight="1" x14ac:dyDescent="0.4">
      <c r="B397" s="140"/>
      <c r="K397" s="125"/>
    </row>
    <row r="398" spans="2:11" ht="24" customHeight="1" x14ac:dyDescent="0.4">
      <c r="B398" s="140"/>
      <c r="K398" s="125"/>
    </row>
    <row r="399" spans="2:11" ht="24" customHeight="1" x14ac:dyDescent="0.4">
      <c r="B399" s="140"/>
      <c r="K399" s="125"/>
    </row>
    <row r="400" spans="2:11" ht="24" customHeight="1" x14ac:dyDescent="0.4">
      <c r="B400" s="140"/>
      <c r="K400" s="125"/>
    </row>
    <row r="401" spans="2:11" ht="24" customHeight="1" x14ac:dyDescent="0.4">
      <c r="B401" s="140"/>
      <c r="K401" s="125"/>
    </row>
    <row r="402" spans="2:11" ht="24" customHeight="1" x14ac:dyDescent="0.4">
      <c r="B402" s="140"/>
      <c r="K402" s="125"/>
    </row>
    <row r="403" spans="2:11" ht="24" customHeight="1" x14ac:dyDescent="0.4">
      <c r="B403" s="140"/>
      <c r="K403" s="125"/>
    </row>
    <row r="404" spans="2:11" ht="24" customHeight="1" x14ac:dyDescent="0.4">
      <c r="B404" s="140"/>
      <c r="K404" s="125"/>
    </row>
    <row r="405" spans="2:11" ht="24" customHeight="1" x14ac:dyDescent="0.4">
      <c r="B405" s="140"/>
      <c r="K405" s="125"/>
    </row>
    <row r="406" spans="2:11" ht="24" customHeight="1" x14ac:dyDescent="0.4">
      <c r="B406" s="140"/>
      <c r="K406" s="125"/>
    </row>
    <row r="407" spans="2:11" ht="24" customHeight="1" x14ac:dyDescent="0.4">
      <c r="B407" s="140"/>
      <c r="K407" s="125"/>
    </row>
    <row r="408" spans="2:11" ht="24" customHeight="1" x14ac:dyDescent="0.4">
      <c r="B408" s="140"/>
      <c r="K408" s="125"/>
    </row>
    <row r="409" spans="2:11" ht="24" customHeight="1" x14ac:dyDescent="0.4">
      <c r="B409" s="140"/>
      <c r="K409" s="125"/>
    </row>
    <row r="410" spans="2:11" ht="24" customHeight="1" x14ac:dyDescent="0.4">
      <c r="B410" s="140"/>
      <c r="K410" s="125"/>
    </row>
    <row r="411" spans="2:11" ht="24" customHeight="1" x14ac:dyDescent="0.4">
      <c r="B411" s="140"/>
      <c r="K411" s="125"/>
    </row>
    <row r="412" spans="2:11" ht="24" customHeight="1" x14ac:dyDescent="0.4">
      <c r="B412" s="140"/>
      <c r="K412" s="125"/>
    </row>
    <row r="413" spans="2:11" ht="24" customHeight="1" x14ac:dyDescent="0.4">
      <c r="B413" s="140"/>
      <c r="K413" s="125"/>
    </row>
    <row r="414" spans="2:11" ht="24" customHeight="1" x14ac:dyDescent="0.4">
      <c r="B414" s="140"/>
      <c r="K414" s="125"/>
    </row>
    <row r="415" spans="2:11" ht="24" customHeight="1" x14ac:dyDescent="0.4">
      <c r="B415" s="140"/>
      <c r="K415" s="125"/>
    </row>
    <row r="416" spans="2:11" ht="24" customHeight="1" x14ac:dyDescent="0.4">
      <c r="B416" s="140"/>
      <c r="K416" s="125"/>
    </row>
    <row r="417" spans="2:11" ht="24" customHeight="1" x14ac:dyDescent="0.4">
      <c r="B417" s="140"/>
      <c r="K417" s="125"/>
    </row>
    <row r="418" spans="2:11" ht="24" customHeight="1" x14ac:dyDescent="0.4">
      <c r="B418" s="140"/>
      <c r="K418" s="125"/>
    </row>
    <row r="419" spans="2:11" ht="24" customHeight="1" x14ac:dyDescent="0.4">
      <c r="B419" s="140"/>
      <c r="K419" s="125"/>
    </row>
    <row r="420" spans="2:11" ht="24" customHeight="1" x14ac:dyDescent="0.4">
      <c r="B420" s="140"/>
      <c r="K420" s="125"/>
    </row>
    <row r="421" spans="2:11" ht="24" customHeight="1" x14ac:dyDescent="0.4">
      <c r="B421" s="140"/>
      <c r="K421" s="125"/>
    </row>
    <row r="422" spans="2:11" ht="24" customHeight="1" x14ac:dyDescent="0.4">
      <c r="B422" s="140"/>
      <c r="K422" s="125"/>
    </row>
    <row r="423" spans="2:11" ht="24" customHeight="1" x14ac:dyDescent="0.4">
      <c r="B423" s="140"/>
      <c r="K423" s="125"/>
    </row>
    <row r="424" spans="2:11" ht="24" customHeight="1" x14ac:dyDescent="0.4">
      <c r="B424" s="140"/>
      <c r="K424" s="125"/>
    </row>
    <row r="425" spans="2:11" ht="24" customHeight="1" x14ac:dyDescent="0.4">
      <c r="B425" s="140"/>
      <c r="K425" s="125"/>
    </row>
    <row r="426" spans="2:11" ht="24" customHeight="1" x14ac:dyDescent="0.4">
      <c r="B426" s="140"/>
      <c r="K426" s="125"/>
    </row>
    <row r="427" spans="2:11" ht="24" customHeight="1" x14ac:dyDescent="0.4">
      <c r="B427" s="140"/>
      <c r="K427" s="125"/>
    </row>
    <row r="428" spans="2:11" ht="24" customHeight="1" x14ac:dyDescent="0.4">
      <c r="B428" s="140"/>
      <c r="K428" s="125"/>
    </row>
    <row r="429" spans="2:11" ht="24" customHeight="1" x14ac:dyDescent="0.4">
      <c r="B429" s="140"/>
      <c r="K429" s="125"/>
    </row>
    <row r="430" spans="2:11" ht="24" customHeight="1" x14ac:dyDescent="0.4">
      <c r="B430" s="140"/>
      <c r="K430" s="125"/>
    </row>
    <row r="431" spans="2:11" ht="24" customHeight="1" x14ac:dyDescent="0.4">
      <c r="B431" s="140"/>
      <c r="K431" s="125"/>
    </row>
    <row r="432" spans="2:11" ht="24" customHeight="1" x14ac:dyDescent="0.4">
      <c r="B432" s="140"/>
      <c r="K432" s="125"/>
    </row>
    <row r="433" spans="2:11" ht="24" customHeight="1" x14ac:dyDescent="0.4">
      <c r="B433" s="140"/>
      <c r="K433" s="125"/>
    </row>
    <row r="434" spans="2:11" ht="24" customHeight="1" x14ac:dyDescent="0.4">
      <c r="B434" s="140"/>
      <c r="K434" s="125"/>
    </row>
    <row r="435" spans="2:11" ht="24" customHeight="1" x14ac:dyDescent="0.4">
      <c r="B435" s="140"/>
      <c r="K435" s="125"/>
    </row>
    <row r="436" spans="2:11" ht="24" customHeight="1" x14ac:dyDescent="0.4">
      <c r="B436" s="140"/>
      <c r="K436" s="125"/>
    </row>
    <row r="437" spans="2:11" ht="24" customHeight="1" x14ac:dyDescent="0.4">
      <c r="B437" s="140"/>
      <c r="K437" s="125"/>
    </row>
    <row r="438" spans="2:11" ht="24" customHeight="1" x14ac:dyDescent="0.4">
      <c r="B438" s="140"/>
      <c r="K438" s="125"/>
    </row>
    <row r="439" spans="2:11" ht="24" customHeight="1" x14ac:dyDescent="0.4">
      <c r="B439" s="140"/>
      <c r="K439" s="125"/>
    </row>
    <row r="440" spans="2:11" ht="24" customHeight="1" x14ac:dyDescent="0.4">
      <c r="B440" s="140"/>
      <c r="K440" s="125"/>
    </row>
    <row r="441" spans="2:11" ht="24" customHeight="1" x14ac:dyDescent="0.4">
      <c r="B441" s="140"/>
      <c r="K441" s="125"/>
    </row>
    <row r="442" spans="2:11" ht="24" customHeight="1" x14ac:dyDescent="0.4">
      <c r="B442" s="140"/>
      <c r="K442" s="125"/>
    </row>
    <row r="443" spans="2:11" ht="24" customHeight="1" x14ac:dyDescent="0.4">
      <c r="B443" s="140"/>
      <c r="K443" s="125"/>
    </row>
    <row r="444" spans="2:11" ht="24" customHeight="1" x14ac:dyDescent="0.4">
      <c r="B444" s="140"/>
      <c r="K444" s="125"/>
    </row>
    <row r="445" spans="2:11" ht="24" customHeight="1" x14ac:dyDescent="0.4">
      <c r="B445" s="140"/>
      <c r="K445" s="125"/>
    </row>
    <row r="446" spans="2:11" ht="24" customHeight="1" x14ac:dyDescent="0.4">
      <c r="B446" s="140"/>
      <c r="K446" s="125"/>
    </row>
    <row r="447" spans="2:11" ht="24" customHeight="1" x14ac:dyDescent="0.4">
      <c r="B447" s="140"/>
      <c r="K447" s="125"/>
    </row>
    <row r="448" spans="2:11" ht="24" customHeight="1" x14ac:dyDescent="0.4">
      <c r="B448" s="140"/>
      <c r="K448" s="125"/>
    </row>
    <row r="449" spans="2:11" ht="24" customHeight="1" x14ac:dyDescent="0.4">
      <c r="B449" s="140"/>
      <c r="K449" s="125"/>
    </row>
    <row r="450" spans="2:11" ht="24" customHeight="1" x14ac:dyDescent="0.4">
      <c r="B450" s="140"/>
      <c r="K450" s="125"/>
    </row>
    <row r="451" spans="2:11" ht="24" customHeight="1" x14ac:dyDescent="0.4">
      <c r="B451" s="140"/>
      <c r="K451" s="125"/>
    </row>
    <row r="452" spans="2:11" ht="24" customHeight="1" x14ac:dyDescent="0.4">
      <c r="B452" s="140"/>
      <c r="K452" s="125"/>
    </row>
    <row r="453" spans="2:11" ht="24" customHeight="1" x14ac:dyDescent="0.4">
      <c r="B453" s="140"/>
      <c r="K453" s="125"/>
    </row>
    <row r="454" spans="2:11" ht="24" customHeight="1" x14ac:dyDescent="0.4">
      <c r="B454" s="140"/>
      <c r="K454" s="125"/>
    </row>
    <row r="455" spans="2:11" ht="24" customHeight="1" x14ac:dyDescent="0.4">
      <c r="B455" s="140"/>
      <c r="K455" s="125"/>
    </row>
    <row r="456" spans="2:11" ht="24" customHeight="1" x14ac:dyDescent="0.4">
      <c r="B456" s="140"/>
      <c r="K456" s="125"/>
    </row>
    <row r="457" spans="2:11" ht="24" customHeight="1" x14ac:dyDescent="0.4">
      <c r="B457" s="140"/>
      <c r="K457" s="125"/>
    </row>
    <row r="458" spans="2:11" ht="24" customHeight="1" x14ac:dyDescent="0.4">
      <c r="B458" s="140"/>
      <c r="K458" s="125"/>
    </row>
    <row r="459" spans="2:11" ht="24" customHeight="1" x14ac:dyDescent="0.4">
      <c r="B459" s="140"/>
      <c r="K459" s="125"/>
    </row>
    <row r="460" spans="2:11" ht="24" customHeight="1" x14ac:dyDescent="0.4">
      <c r="B460" s="140"/>
      <c r="K460" s="125"/>
    </row>
    <row r="461" spans="2:11" ht="24" customHeight="1" x14ac:dyDescent="0.4">
      <c r="B461" s="140"/>
      <c r="K461" s="125"/>
    </row>
    <row r="462" spans="2:11" ht="24" customHeight="1" x14ac:dyDescent="0.4">
      <c r="B462" s="140"/>
      <c r="K462" s="125"/>
    </row>
    <row r="463" spans="2:11" ht="24" customHeight="1" x14ac:dyDescent="0.4">
      <c r="B463" s="140"/>
      <c r="K463" s="125"/>
    </row>
    <row r="464" spans="2:11" ht="24" customHeight="1" x14ac:dyDescent="0.4">
      <c r="B464" s="140"/>
      <c r="K464" s="125"/>
    </row>
    <row r="465" spans="2:11" ht="24" customHeight="1" x14ac:dyDescent="0.4">
      <c r="B465" s="140"/>
      <c r="K465" s="125"/>
    </row>
    <row r="466" spans="2:11" ht="24" customHeight="1" x14ac:dyDescent="0.4">
      <c r="B466" s="140"/>
      <c r="K466" s="125"/>
    </row>
    <row r="467" spans="2:11" ht="24" customHeight="1" x14ac:dyDescent="0.4">
      <c r="B467" s="140"/>
      <c r="K467" s="125"/>
    </row>
    <row r="468" spans="2:11" ht="24" customHeight="1" x14ac:dyDescent="0.4">
      <c r="B468" s="140"/>
      <c r="K468" s="125"/>
    </row>
    <row r="469" spans="2:11" ht="24" customHeight="1" x14ac:dyDescent="0.4">
      <c r="B469" s="140"/>
      <c r="K469" s="125"/>
    </row>
    <row r="470" spans="2:11" ht="24" customHeight="1" x14ac:dyDescent="0.4">
      <c r="B470" s="140"/>
      <c r="K470" s="125"/>
    </row>
    <row r="471" spans="2:11" ht="24" customHeight="1" x14ac:dyDescent="0.4">
      <c r="B471" s="140"/>
      <c r="K471" s="125"/>
    </row>
    <row r="472" spans="2:11" ht="24" customHeight="1" x14ac:dyDescent="0.4">
      <c r="B472" s="140"/>
      <c r="K472" s="125"/>
    </row>
    <row r="473" spans="2:11" ht="24" customHeight="1" x14ac:dyDescent="0.4">
      <c r="B473" s="140"/>
      <c r="K473" s="125"/>
    </row>
    <row r="474" spans="2:11" ht="24" customHeight="1" x14ac:dyDescent="0.4">
      <c r="B474" s="140"/>
      <c r="K474" s="125"/>
    </row>
    <row r="475" spans="2:11" ht="24" customHeight="1" x14ac:dyDescent="0.4">
      <c r="B475" s="140"/>
      <c r="K475" s="125"/>
    </row>
    <row r="476" spans="2:11" ht="24" customHeight="1" x14ac:dyDescent="0.4">
      <c r="B476" s="140"/>
      <c r="K476" s="125"/>
    </row>
    <row r="477" spans="2:11" ht="24" customHeight="1" x14ac:dyDescent="0.4">
      <c r="B477" s="140"/>
      <c r="K477" s="125"/>
    </row>
    <row r="478" spans="2:11" ht="24" customHeight="1" x14ac:dyDescent="0.4">
      <c r="B478" s="140"/>
      <c r="K478" s="125"/>
    </row>
    <row r="479" spans="2:11" ht="24" customHeight="1" x14ac:dyDescent="0.4">
      <c r="B479" s="140"/>
      <c r="K479" s="125"/>
    </row>
    <row r="480" spans="2:11" ht="24" customHeight="1" x14ac:dyDescent="0.4">
      <c r="B480" s="140"/>
      <c r="K480" s="125"/>
    </row>
    <row r="481" spans="2:11" ht="24" customHeight="1" x14ac:dyDescent="0.4">
      <c r="B481" s="140"/>
      <c r="K481" s="125"/>
    </row>
    <row r="482" spans="2:11" ht="24" customHeight="1" x14ac:dyDescent="0.4">
      <c r="B482" s="140"/>
      <c r="K482" s="125"/>
    </row>
    <row r="483" spans="2:11" ht="24" customHeight="1" x14ac:dyDescent="0.4">
      <c r="B483" s="140"/>
      <c r="K483" s="125"/>
    </row>
    <row r="484" spans="2:11" ht="24" customHeight="1" x14ac:dyDescent="0.4">
      <c r="B484" s="140"/>
      <c r="K484" s="125"/>
    </row>
    <row r="485" spans="2:11" ht="24" customHeight="1" x14ac:dyDescent="0.4">
      <c r="B485" s="140"/>
      <c r="K485" s="125"/>
    </row>
    <row r="486" spans="2:11" ht="24" customHeight="1" x14ac:dyDescent="0.4">
      <c r="B486" s="140"/>
      <c r="K486" s="125"/>
    </row>
    <row r="487" spans="2:11" ht="24" customHeight="1" x14ac:dyDescent="0.4">
      <c r="B487" s="140"/>
      <c r="K487" s="125"/>
    </row>
    <row r="488" spans="2:11" ht="24" customHeight="1" x14ac:dyDescent="0.4">
      <c r="B488" s="140"/>
      <c r="K488" s="125"/>
    </row>
    <row r="489" spans="2:11" ht="24" customHeight="1" x14ac:dyDescent="0.4">
      <c r="B489" s="140"/>
      <c r="K489" s="125"/>
    </row>
    <row r="490" spans="2:11" ht="24" customHeight="1" x14ac:dyDescent="0.4">
      <c r="B490" s="140"/>
      <c r="K490" s="125"/>
    </row>
    <row r="491" spans="2:11" ht="24" customHeight="1" x14ac:dyDescent="0.4">
      <c r="B491" s="140"/>
      <c r="K491" s="125"/>
    </row>
    <row r="492" spans="2:11" ht="24" customHeight="1" x14ac:dyDescent="0.4">
      <c r="B492" s="140"/>
      <c r="K492" s="125"/>
    </row>
    <row r="493" spans="2:11" ht="24" customHeight="1" x14ac:dyDescent="0.4">
      <c r="B493" s="140"/>
      <c r="K493" s="125"/>
    </row>
    <row r="494" spans="2:11" ht="24" customHeight="1" x14ac:dyDescent="0.4">
      <c r="B494" s="140"/>
      <c r="K494" s="125"/>
    </row>
    <row r="495" spans="2:11" ht="24" customHeight="1" x14ac:dyDescent="0.4">
      <c r="B495" s="140"/>
      <c r="K495" s="125"/>
    </row>
    <row r="496" spans="2:11" ht="24" customHeight="1" x14ac:dyDescent="0.4">
      <c r="B496" s="140"/>
      <c r="K496" s="125"/>
    </row>
    <row r="497" spans="2:11" ht="24" customHeight="1" x14ac:dyDescent="0.4">
      <c r="B497" s="140"/>
      <c r="K497" s="125"/>
    </row>
    <row r="498" spans="2:11" ht="24" customHeight="1" x14ac:dyDescent="0.4">
      <c r="B498" s="140"/>
      <c r="K498" s="125"/>
    </row>
    <row r="499" spans="2:11" ht="24" customHeight="1" x14ac:dyDescent="0.4">
      <c r="B499" s="140"/>
      <c r="K499" s="125"/>
    </row>
    <row r="500" spans="2:11" ht="24" customHeight="1" x14ac:dyDescent="0.4">
      <c r="B500" s="140"/>
      <c r="K500" s="125"/>
    </row>
    <row r="501" spans="2:11" ht="24" customHeight="1" x14ac:dyDescent="0.4">
      <c r="B501" s="140"/>
      <c r="K501" s="125"/>
    </row>
    <row r="502" spans="2:11" ht="24" customHeight="1" x14ac:dyDescent="0.4">
      <c r="B502" s="140"/>
      <c r="K502" s="125"/>
    </row>
    <row r="503" spans="2:11" ht="24" customHeight="1" x14ac:dyDescent="0.4">
      <c r="B503" s="140"/>
      <c r="K503" s="125"/>
    </row>
    <row r="504" spans="2:11" ht="24" customHeight="1" x14ac:dyDescent="0.4">
      <c r="B504" s="140"/>
      <c r="K504" s="125"/>
    </row>
    <row r="505" spans="2:11" ht="24" customHeight="1" x14ac:dyDescent="0.4">
      <c r="B505" s="140"/>
      <c r="K505" s="125"/>
    </row>
    <row r="506" spans="2:11" ht="24" customHeight="1" x14ac:dyDescent="0.4">
      <c r="B506" s="140"/>
      <c r="K506" s="125"/>
    </row>
    <row r="507" spans="2:11" ht="24" customHeight="1" x14ac:dyDescent="0.4">
      <c r="B507" s="140"/>
      <c r="K507" s="125"/>
    </row>
    <row r="508" spans="2:11" ht="24" customHeight="1" x14ac:dyDescent="0.4">
      <c r="B508" s="140"/>
      <c r="K508" s="125"/>
    </row>
    <row r="509" spans="2:11" ht="24" customHeight="1" x14ac:dyDescent="0.4">
      <c r="B509" s="140"/>
      <c r="K509" s="125"/>
    </row>
    <row r="510" spans="2:11" ht="24" customHeight="1" x14ac:dyDescent="0.4">
      <c r="B510" s="140"/>
      <c r="K510" s="125"/>
    </row>
    <row r="511" spans="2:11" ht="24" customHeight="1" x14ac:dyDescent="0.4">
      <c r="B511" s="140"/>
      <c r="K511" s="125"/>
    </row>
    <row r="512" spans="2:11" ht="24" customHeight="1" x14ac:dyDescent="0.4">
      <c r="B512" s="140"/>
      <c r="K512" s="125"/>
    </row>
    <row r="513" spans="2:11" ht="24" customHeight="1" x14ac:dyDescent="0.4">
      <c r="B513" s="140"/>
      <c r="K513" s="125"/>
    </row>
    <row r="514" spans="2:11" ht="24" customHeight="1" x14ac:dyDescent="0.4">
      <c r="B514" s="140"/>
      <c r="K514" s="125"/>
    </row>
    <row r="515" spans="2:11" ht="24" customHeight="1" x14ac:dyDescent="0.4">
      <c r="B515" s="140"/>
      <c r="K515" s="125"/>
    </row>
    <row r="516" spans="2:11" ht="24" customHeight="1" x14ac:dyDescent="0.4">
      <c r="B516" s="140"/>
      <c r="K516" s="125"/>
    </row>
    <row r="517" spans="2:11" ht="24" customHeight="1" x14ac:dyDescent="0.4">
      <c r="B517" s="140"/>
      <c r="K517" s="125"/>
    </row>
    <row r="518" spans="2:11" ht="24" customHeight="1" x14ac:dyDescent="0.4">
      <c r="B518" s="140"/>
      <c r="K518" s="125"/>
    </row>
    <row r="519" spans="2:11" ht="24" customHeight="1" x14ac:dyDescent="0.4">
      <c r="B519" s="140"/>
      <c r="K519" s="125"/>
    </row>
    <row r="520" spans="2:11" ht="24" customHeight="1" x14ac:dyDescent="0.4">
      <c r="B520" s="140"/>
      <c r="K520" s="125"/>
    </row>
    <row r="521" spans="2:11" ht="24" customHeight="1" x14ac:dyDescent="0.4">
      <c r="B521" s="140"/>
      <c r="K521" s="125"/>
    </row>
    <row r="522" spans="2:11" ht="24" customHeight="1" x14ac:dyDescent="0.4">
      <c r="B522" s="140"/>
      <c r="K522" s="125"/>
    </row>
    <row r="523" spans="2:11" ht="24" customHeight="1" x14ac:dyDescent="0.4">
      <c r="B523" s="140"/>
      <c r="K523" s="125"/>
    </row>
    <row r="524" spans="2:11" ht="24" customHeight="1" x14ac:dyDescent="0.4">
      <c r="B524" s="140"/>
      <c r="K524" s="125"/>
    </row>
    <row r="525" spans="2:11" ht="24" customHeight="1" x14ac:dyDescent="0.4">
      <c r="B525" s="140"/>
      <c r="K525" s="125"/>
    </row>
    <row r="526" spans="2:11" ht="24" customHeight="1" x14ac:dyDescent="0.4">
      <c r="B526" s="140"/>
      <c r="K526" s="125"/>
    </row>
    <row r="527" spans="2:11" ht="24" customHeight="1" x14ac:dyDescent="0.4">
      <c r="B527" s="140"/>
      <c r="K527" s="125"/>
    </row>
    <row r="528" spans="2:11" ht="24" customHeight="1" x14ac:dyDescent="0.4">
      <c r="B528" s="140"/>
      <c r="K528" s="125"/>
    </row>
    <row r="529" spans="2:11" ht="24" customHeight="1" x14ac:dyDescent="0.4">
      <c r="B529" s="140"/>
      <c r="K529" s="125"/>
    </row>
    <row r="530" spans="2:11" ht="24" customHeight="1" x14ac:dyDescent="0.4">
      <c r="B530" s="140"/>
      <c r="K530" s="125"/>
    </row>
    <row r="531" spans="2:11" ht="24" customHeight="1" x14ac:dyDescent="0.4">
      <c r="B531" s="140"/>
      <c r="K531" s="125"/>
    </row>
    <row r="532" spans="2:11" ht="24" customHeight="1" x14ac:dyDescent="0.4">
      <c r="B532" s="140"/>
      <c r="K532" s="125"/>
    </row>
    <row r="533" spans="2:11" ht="24" customHeight="1" x14ac:dyDescent="0.4">
      <c r="B533" s="140"/>
      <c r="K533" s="125"/>
    </row>
    <row r="534" spans="2:11" ht="24" customHeight="1" x14ac:dyDescent="0.4">
      <c r="B534" s="140"/>
      <c r="K534" s="125"/>
    </row>
    <row r="535" spans="2:11" ht="24" customHeight="1" x14ac:dyDescent="0.4">
      <c r="B535" s="140"/>
      <c r="K535" s="125"/>
    </row>
    <row r="536" spans="2:11" ht="24" customHeight="1" x14ac:dyDescent="0.4">
      <c r="B536" s="140"/>
      <c r="K536" s="125"/>
    </row>
    <row r="537" spans="2:11" ht="24" customHeight="1" x14ac:dyDescent="0.4">
      <c r="B537" s="140"/>
      <c r="K537" s="125"/>
    </row>
    <row r="538" spans="2:11" ht="24" customHeight="1" x14ac:dyDescent="0.4">
      <c r="B538" s="140"/>
      <c r="K538" s="125"/>
    </row>
    <row r="539" spans="2:11" ht="24" customHeight="1" x14ac:dyDescent="0.4">
      <c r="B539" s="140"/>
      <c r="K539" s="125"/>
    </row>
    <row r="540" spans="2:11" ht="24" customHeight="1" x14ac:dyDescent="0.4">
      <c r="B540" s="140"/>
      <c r="K540" s="125"/>
    </row>
    <row r="541" spans="2:11" ht="24" customHeight="1" x14ac:dyDescent="0.4">
      <c r="B541" s="140"/>
      <c r="K541" s="125"/>
    </row>
    <row r="542" spans="2:11" ht="24" customHeight="1" x14ac:dyDescent="0.4">
      <c r="B542" s="140"/>
      <c r="K542" s="125"/>
    </row>
    <row r="543" spans="2:11" ht="24" customHeight="1" x14ac:dyDescent="0.4">
      <c r="B543" s="140"/>
      <c r="K543" s="125"/>
    </row>
    <row r="544" spans="2:11" ht="24" customHeight="1" x14ac:dyDescent="0.4">
      <c r="B544" s="140"/>
      <c r="K544" s="125"/>
    </row>
    <row r="545" spans="2:11" ht="24" customHeight="1" x14ac:dyDescent="0.4">
      <c r="B545" s="140"/>
      <c r="K545" s="125"/>
    </row>
    <row r="546" spans="2:11" ht="24" customHeight="1" x14ac:dyDescent="0.4">
      <c r="B546" s="140"/>
      <c r="K546" s="125"/>
    </row>
    <row r="547" spans="2:11" ht="24" customHeight="1" x14ac:dyDescent="0.4">
      <c r="B547" s="140"/>
      <c r="K547" s="125"/>
    </row>
    <row r="548" spans="2:11" ht="24" customHeight="1" x14ac:dyDescent="0.4">
      <c r="B548" s="140"/>
      <c r="K548" s="125"/>
    </row>
    <row r="549" spans="2:11" ht="24" customHeight="1" x14ac:dyDescent="0.4">
      <c r="B549" s="140"/>
      <c r="K549" s="125"/>
    </row>
    <row r="550" spans="2:11" ht="24" customHeight="1" x14ac:dyDescent="0.4">
      <c r="B550" s="140"/>
      <c r="K550" s="125"/>
    </row>
    <row r="551" spans="2:11" ht="24" customHeight="1" x14ac:dyDescent="0.4">
      <c r="B551" s="140"/>
      <c r="K551" s="125"/>
    </row>
    <row r="552" spans="2:11" ht="24" customHeight="1" x14ac:dyDescent="0.4">
      <c r="B552" s="140"/>
      <c r="K552" s="125"/>
    </row>
    <row r="553" spans="2:11" ht="24" customHeight="1" x14ac:dyDescent="0.4">
      <c r="B553" s="140"/>
      <c r="K553" s="125"/>
    </row>
    <row r="554" spans="2:11" ht="24" customHeight="1" x14ac:dyDescent="0.4">
      <c r="B554" s="140"/>
      <c r="K554" s="125"/>
    </row>
    <row r="555" spans="2:11" ht="24" customHeight="1" x14ac:dyDescent="0.4">
      <c r="B555" s="140"/>
      <c r="K555" s="125"/>
    </row>
    <row r="556" spans="2:11" ht="24" customHeight="1" x14ac:dyDescent="0.4">
      <c r="B556" s="140"/>
      <c r="K556" s="125"/>
    </row>
    <row r="557" spans="2:11" ht="24" customHeight="1" x14ac:dyDescent="0.4">
      <c r="B557" s="140"/>
      <c r="K557" s="125"/>
    </row>
    <row r="558" spans="2:11" ht="24" customHeight="1" x14ac:dyDescent="0.4">
      <c r="B558" s="140"/>
      <c r="K558" s="125"/>
    </row>
    <row r="559" spans="2:11" ht="24" customHeight="1" x14ac:dyDescent="0.4">
      <c r="B559" s="140"/>
      <c r="K559" s="125"/>
    </row>
    <row r="560" spans="2:11" ht="24" customHeight="1" x14ac:dyDescent="0.4">
      <c r="B560" s="140"/>
      <c r="K560" s="125"/>
    </row>
    <row r="561" spans="2:11" ht="24" customHeight="1" x14ac:dyDescent="0.4">
      <c r="B561" s="140"/>
      <c r="K561" s="125"/>
    </row>
    <row r="562" spans="2:11" ht="24" customHeight="1" x14ac:dyDescent="0.4">
      <c r="B562" s="140"/>
      <c r="K562" s="125"/>
    </row>
    <row r="563" spans="2:11" ht="24" customHeight="1" x14ac:dyDescent="0.4">
      <c r="B563" s="140"/>
      <c r="K563" s="125"/>
    </row>
    <row r="564" spans="2:11" ht="24" customHeight="1" x14ac:dyDescent="0.4">
      <c r="B564" s="140"/>
      <c r="K564" s="125"/>
    </row>
    <row r="565" spans="2:11" ht="24" customHeight="1" x14ac:dyDescent="0.4">
      <c r="B565" s="140"/>
      <c r="K565" s="125"/>
    </row>
    <row r="566" spans="2:11" ht="24" customHeight="1" x14ac:dyDescent="0.4">
      <c r="B566" s="140"/>
      <c r="K566" s="125"/>
    </row>
    <row r="567" spans="2:11" ht="24" customHeight="1" x14ac:dyDescent="0.4">
      <c r="B567" s="140"/>
      <c r="K567" s="125"/>
    </row>
    <row r="568" spans="2:11" ht="24" customHeight="1" x14ac:dyDescent="0.4">
      <c r="B568" s="140"/>
      <c r="K568" s="125"/>
    </row>
    <row r="569" spans="2:11" ht="24" customHeight="1" x14ac:dyDescent="0.4">
      <c r="B569" s="140"/>
      <c r="K569" s="125"/>
    </row>
    <row r="570" spans="2:11" ht="24" customHeight="1" x14ac:dyDescent="0.4">
      <c r="B570" s="140"/>
      <c r="K570" s="125"/>
    </row>
    <row r="571" spans="2:11" ht="24" customHeight="1" x14ac:dyDescent="0.4">
      <c r="B571" s="140"/>
      <c r="K571" s="125"/>
    </row>
    <row r="572" spans="2:11" ht="24" customHeight="1" x14ac:dyDescent="0.4">
      <c r="B572" s="140"/>
      <c r="K572" s="125"/>
    </row>
    <row r="573" spans="2:11" ht="24" customHeight="1" x14ac:dyDescent="0.4">
      <c r="B573" s="140"/>
      <c r="K573" s="125"/>
    </row>
    <row r="574" spans="2:11" ht="24" customHeight="1" x14ac:dyDescent="0.4">
      <c r="B574" s="140"/>
      <c r="K574" s="125"/>
    </row>
    <row r="575" spans="2:11" ht="24" customHeight="1" x14ac:dyDescent="0.4">
      <c r="B575" s="140"/>
      <c r="K575" s="125"/>
    </row>
    <row r="576" spans="2:11" ht="24" customHeight="1" x14ac:dyDescent="0.4">
      <c r="B576" s="140"/>
      <c r="K576" s="125"/>
    </row>
    <row r="577" spans="2:11" ht="24" customHeight="1" x14ac:dyDescent="0.4">
      <c r="B577" s="140"/>
      <c r="K577" s="125"/>
    </row>
    <row r="578" spans="2:11" ht="24" customHeight="1" x14ac:dyDescent="0.4">
      <c r="B578" s="140"/>
      <c r="K578" s="125"/>
    </row>
    <row r="579" spans="2:11" ht="24" customHeight="1" x14ac:dyDescent="0.4">
      <c r="B579" s="140"/>
      <c r="K579" s="125"/>
    </row>
    <row r="580" spans="2:11" ht="24" customHeight="1" x14ac:dyDescent="0.4">
      <c r="B580" s="140"/>
      <c r="K580" s="125"/>
    </row>
    <row r="581" spans="2:11" ht="24" customHeight="1" x14ac:dyDescent="0.4">
      <c r="B581" s="140"/>
      <c r="K581" s="125"/>
    </row>
    <row r="582" spans="2:11" ht="24" customHeight="1" x14ac:dyDescent="0.4">
      <c r="B582" s="140"/>
      <c r="K582" s="125"/>
    </row>
    <row r="583" spans="2:11" ht="24" customHeight="1" x14ac:dyDescent="0.4">
      <c r="B583" s="140"/>
      <c r="K583" s="125"/>
    </row>
    <row r="584" spans="2:11" ht="24" customHeight="1" x14ac:dyDescent="0.4">
      <c r="B584" s="140"/>
      <c r="K584" s="125"/>
    </row>
    <row r="585" spans="2:11" ht="24" customHeight="1" x14ac:dyDescent="0.4">
      <c r="B585" s="140"/>
      <c r="K585" s="125"/>
    </row>
    <row r="586" spans="2:11" ht="24" customHeight="1" x14ac:dyDescent="0.4">
      <c r="B586" s="140"/>
      <c r="K586" s="125"/>
    </row>
    <row r="587" spans="2:11" ht="24" customHeight="1" x14ac:dyDescent="0.4">
      <c r="B587" s="140"/>
      <c r="K587" s="125"/>
    </row>
    <row r="588" spans="2:11" ht="24" customHeight="1" x14ac:dyDescent="0.4">
      <c r="B588" s="140"/>
      <c r="K588" s="125"/>
    </row>
    <row r="589" spans="2:11" ht="24" customHeight="1" x14ac:dyDescent="0.4">
      <c r="B589" s="140"/>
      <c r="K589" s="125"/>
    </row>
    <row r="590" spans="2:11" ht="24" customHeight="1" x14ac:dyDescent="0.4">
      <c r="B590" s="140"/>
      <c r="K590" s="125"/>
    </row>
    <row r="591" spans="2:11" ht="24" customHeight="1" x14ac:dyDescent="0.4">
      <c r="B591" s="140"/>
      <c r="K591" s="125"/>
    </row>
    <row r="592" spans="2:11" ht="24" customHeight="1" x14ac:dyDescent="0.4">
      <c r="B592" s="140"/>
      <c r="K592" s="125"/>
    </row>
    <row r="593" spans="2:11" ht="24" customHeight="1" x14ac:dyDescent="0.4">
      <c r="B593" s="140"/>
      <c r="K593" s="125"/>
    </row>
    <row r="594" spans="2:11" ht="24" customHeight="1" x14ac:dyDescent="0.4">
      <c r="B594" s="140"/>
      <c r="K594" s="125"/>
    </row>
    <row r="595" spans="2:11" ht="24" customHeight="1" x14ac:dyDescent="0.4">
      <c r="B595" s="140"/>
      <c r="K595" s="125"/>
    </row>
    <row r="596" spans="2:11" ht="24" customHeight="1" x14ac:dyDescent="0.4">
      <c r="B596" s="140"/>
      <c r="K596" s="125"/>
    </row>
    <row r="597" spans="2:11" ht="24" customHeight="1" x14ac:dyDescent="0.4">
      <c r="B597" s="140"/>
      <c r="K597" s="125"/>
    </row>
    <row r="598" spans="2:11" ht="24" customHeight="1" x14ac:dyDescent="0.4">
      <c r="B598" s="140"/>
      <c r="K598" s="125"/>
    </row>
    <row r="599" spans="2:11" ht="24" customHeight="1" x14ac:dyDescent="0.4">
      <c r="B599" s="140"/>
      <c r="K599" s="125"/>
    </row>
    <row r="600" spans="2:11" ht="24" customHeight="1" x14ac:dyDescent="0.4">
      <c r="B600" s="140"/>
      <c r="K600" s="125"/>
    </row>
    <row r="601" spans="2:11" ht="24" customHeight="1" x14ac:dyDescent="0.4">
      <c r="B601" s="140"/>
      <c r="K601" s="125"/>
    </row>
    <row r="602" spans="2:11" ht="24" customHeight="1" x14ac:dyDescent="0.4">
      <c r="B602" s="140"/>
      <c r="K602" s="125"/>
    </row>
    <row r="603" spans="2:11" ht="24" customHeight="1" x14ac:dyDescent="0.4">
      <c r="B603" s="140"/>
      <c r="K603" s="125"/>
    </row>
    <row r="604" spans="2:11" ht="24" customHeight="1" x14ac:dyDescent="0.4">
      <c r="B604" s="140"/>
      <c r="K604" s="125"/>
    </row>
    <row r="605" spans="2:11" ht="24" customHeight="1" x14ac:dyDescent="0.4">
      <c r="B605" s="140"/>
      <c r="K605" s="125"/>
    </row>
    <row r="606" spans="2:11" ht="24" customHeight="1" x14ac:dyDescent="0.4">
      <c r="B606" s="140"/>
      <c r="K606" s="125"/>
    </row>
    <row r="607" spans="2:11" ht="24" customHeight="1" x14ac:dyDescent="0.4">
      <c r="B607" s="140"/>
      <c r="K607" s="125"/>
    </row>
    <row r="608" spans="2:11" ht="24" customHeight="1" x14ac:dyDescent="0.4">
      <c r="B608" s="140"/>
      <c r="K608" s="125"/>
    </row>
    <row r="609" spans="2:11" ht="24" customHeight="1" x14ac:dyDescent="0.4">
      <c r="B609" s="140"/>
      <c r="K609" s="125"/>
    </row>
    <row r="610" spans="2:11" ht="24" customHeight="1" x14ac:dyDescent="0.4">
      <c r="B610" s="140"/>
      <c r="K610" s="125"/>
    </row>
    <row r="611" spans="2:11" ht="24" customHeight="1" x14ac:dyDescent="0.4">
      <c r="B611" s="140"/>
      <c r="K611" s="125"/>
    </row>
    <row r="612" spans="2:11" ht="24" customHeight="1" x14ac:dyDescent="0.4">
      <c r="B612" s="140"/>
      <c r="K612" s="125"/>
    </row>
    <row r="613" spans="2:11" ht="24" customHeight="1" x14ac:dyDescent="0.4">
      <c r="B613" s="140"/>
      <c r="K613" s="125"/>
    </row>
    <row r="614" spans="2:11" ht="24" customHeight="1" x14ac:dyDescent="0.4">
      <c r="B614" s="140"/>
      <c r="K614" s="125"/>
    </row>
    <row r="615" spans="2:11" ht="24" customHeight="1" x14ac:dyDescent="0.4">
      <c r="B615" s="140"/>
      <c r="K615" s="125"/>
    </row>
    <row r="616" spans="2:11" ht="24" customHeight="1" x14ac:dyDescent="0.4">
      <c r="B616" s="140"/>
      <c r="K616" s="125"/>
    </row>
    <row r="617" spans="2:11" ht="24" customHeight="1" x14ac:dyDescent="0.4">
      <c r="B617" s="140"/>
      <c r="K617" s="125"/>
    </row>
    <row r="618" spans="2:11" ht="24" customHeight="1" x14ac:dyDescent="0.4">
      <c r="B618" s="140"/>
      <c r="K618" s="125"/>
    </row>
    <row r="619" spans="2:11" ht="24" customHeight="1" x14ac:dyDescent="0.4">
      <c r="B619" s="140"/>
      <c r="K619" s="125"/>
    </row>
    <row r="620" spans="2:11" ht="24" customHeight="1" x14ac:dyDescent="0.4">
      <c r="B620" s="140"/>
      <c r="K620" s="125"/>
    </row>
    <row r="621" spans="2:11" ht="24" customHeight="1" x14ac:dyDescent="0.4">
      <c r="B621" s="140"/>
      <c r="K621" s="125"/>
    </row>
    <row r="622" spans="2:11" ht="24" customHeight="1" x14ac:dyDescent="0.4">
      <c r="B622" s="140"/>
      <c r="K622" s="125"/>
    </row>
    <row r="623" spans="2:11" ht="24" customHeight="1" x14ac:dyDescent="0.4">
      <c r="B623" s="140"/>
      <c r="K623" s="125"/>
    </row>
    <row r="624" spans="2:11" ht="24" customHeight="1" x14ac:dyDescent="0.4">
      <c r="B624" s="140"/>
      <c r="K624" s="125"/>
    </row>
    <row r="625" spans="2:11" ht="24" customHeight="1" x14ac:dyDescent="0.4">
      <c r="B625" s="140"/>
      <c r="K625" s="125"/>
    </row>
    <row r="626" spans="2:11" ht="24" customHeight="1" x14ac:dyDescent="0.4">
      <c r="B626" s="140"/>
      <c r="K626" s="125"/>
    </row>
    <row r="627" spans="2:11" ht="24" customHeight="1" x14ac:dyDescent="0.4">
      <c r="B627" s="140"/>
      <c r="K627" s="125"/>
    </row>
    <row r="628" spans="2:11" ht="24" customHeight="1" x14ac:dyDescent="0.4">
      <c r="B628" s="140"/>
      <c r="K628" s="125"/>
    </row>
    <row r="629" spans="2:11" ht="24" customHeight="1" x14ac:dyDescent="0.4">
      <c r="B629" s="140"/>
      <c r="K629" s="125"/>
    </row>
    <row r="630" spans="2:11" ht="24" customHeight="1" x14ac:dyDescent="0.4">
      <c r="B630" s="140"/>
      <c r="K630" s="125"/>
    </row>
    <row r="631" spans="2:11" ht="24" customHeight="1" x14ac:dyDescent="0.4">
      <c r="B631" s="140"/>
      <c r="K631" s="125"/>
    </row>
    <row r="632" spans="2:11" ht="24" customHeight="1" x14ac:dyDescent="0.4">
      <c r="B632" s="140"/>
      <c r="K632" s="125"/>
    </row>
    <row r="633" spans="2:11" ht="24" customHeight="1" x14ac:dyDescent="0.4">
      <c r="B633" s="140"/>
      <c r="K633" s="125"/>
    </row>
    <row r="634" spans="2:11" ht="24" customHeight="1" x14ac:dyDescent="0.4">
      <c r="B634" s="140"/>
      <c r="K634" s="125"/>
    </row>
    <row r="635" spans="2:11" ht="24" customHeight="1" x14ac:dyDescent="0.4">
      <c r="B635" s="140"/>
      <c r="K635" s="125"/>
    </row>
    <row r="636" spans="2:11" ht="24" customHeight="1" x14ac:dyDescent="0.4">
      <c r="B636" s="140"/>
      <c r="K636" s="125"/>
    </row>
    <row r="637" spans="2:11" ht="24" customHeight="1" x14ac:dyDescent="0.4">
      <c r="B637" s="140"/>
      <c r="K637" s="125"/>
    </row>
    <row r="638" spans="2:11" ht="24" customHeight="1" x14ac:dyDescent="0.4">
      <c r="B638" s="140"/>
      <c r="K638" s="125"/>
    </row>
    <row r="639" spans="2:11" ht="24" customHeight="1" x14ac:dyDescent="0.4">
      <c r="B639" s="140"/>
      <c r="K639" s="125"/>
    </row>
    <row r="640" spans="2:11" ht="24" customHeight="1" x14ac:dyDescent="0.4">
      <c r="B640" s="140"/>
      <c r="K640" s="125"/>
    </row>
    <row r="641" spans="2:11" ht="24" customHeight="1" x14ac:dyDescent="0.4">
      <c r="B641" s="140"/>
      <c r="K641" s="125"/>
    </row>
    <row r="642" spans="2:11" ht="24" customHeight="1" x14ac:dyDescent="0.4">
      <c r="B642" s="140"/>
      <c r="K642" s="125"/>
    </row>
    <row r="643" spans="2:11" ht="24" customHeight="1" x14ac:dyDescent="0.4">
      <c r="B643" s="140"/>
      <c r="K643" s="125"/>
    </row>
    <row r="644" spans="2:11" ht="24" customHeight="1" x14ac:dyDescent="0.4">
      <c r="B644" s="140"/>
      <c r="K644" s="125"/>
    </row>
    <row r="645" spans="2:11" ht="24" customHeight="1" x14ac:dyDescent="0.4">
      <c r="B645" s="140"/>
      <c r="K645" s="125"/>
    </row>
    <row r="646" spans="2:11" ht="24" customHeight="1" x14ac:dyDescent="0.4">
      <c r="B646" s="140"/>
      <c r="K646" s="125"/>
    </row>
    <row r="647" spans="2:11" ht="24" customHeight="1" x14ac:dyDescent="0.4">
      <c r="B647" s="140"/>
      <c r="K647" s="125"/>
    </row>
    <row r="648" spans="2:11" ht="24" customHeight="1" x14ac:dyDescent="0.4">
      <c r="B648" s="140"/>
      <c r="K648" s="125"/>
    </row>
    <row r="649" spans="2:11" ht="24" customHeight="1" x14ac:dyDescent="0.4">
      <c r="B649" s="140"/>
      <c r="K649" s="125"/>
    </row>
    <row r="650" spans="2:11" ht="24" customHeight="1" x14ac:dyDescent="0.4">
      <c r="B650" s="140"/>
      <c r="K650" s="125"/>
    </row>
    <row r="651" spans="2:11" ht="24" customHeight="1" x14ac:dyDescent="0.4">
      <c r="B651" s="140"/>
      <c r="K651" s="125"/>
    </row>
    <row r="652" spans="2:11" ht="24" customHeight="1" x14ac:dyDescent="0.4">
      <c r="B652" s="140"/>
      <c r="K652" s="125"/>
    </row>
    <row r="653" spans="2:11" ht="24" customHeight="1" x14ac:dyDescent="0.4">
      <c r="B653" s="140"/>
      <c r="K653" s="125"/>
    </row>
    <row r="654" spans="2:11" ht="24" customHeight="1" x14ac:dyDescent="0.4">
      <c r="B654" s="140"/>
      <c r="K654" s="125"/>
    </row>
    <row r="655" spans="2:11" ht="24" customHeight="1" x14ac:dyDescent="0.4">
      <c r="B655" s="140"/>
      <c r="K655" s="125"/>
    </row>
    <row r="656" spans="2:11" ht="24" customHeight="1" x14ac:dyDescent="0.4">
      <c r="B656" s="140"/>
      <c r="K656" s="125"/>
    </row>
    <row r="657" spans="2:11" ht="24" customHeight="1" x14ac:dyDescent="0.4">
      <c r="B657" s="140"/>
      <c r="K657" s="125"/>
    </row>
    <row r="658" spans="2:11" ht="24" customHeight="1" x14ac:dyDescent="0.4">
      <c r="B658" s="140"/>
      <c r="K658" s="125"/>
    </row>
    <row r="659" spans="2:11" ht="24" customHeight="1" x14ac:dyDescent="0.4">
      <c r="B659" s="140"/>
      <c r="K659" s="125"/>
    </row>
    <row r="660" spans="2:11" ht="24" customHeight="1" x14ac:dyDescent="0.4">
      <c r="B660" s="140"/>
      <c r="K660" s="125"/>
    </row>
    <row r="661" spans="2:11" ht="24" customHeight="1" x14ac:dyDescent="0.4">
      <c r="B661" s="140"/>
      <c r="K661" s="125"/>
    </row>
    <row r="662" spans="2:11" ht="24" customHeight="1" x14ac:dyDescent="0.4">
      <c r="B662" s="140"/>
      <c r="K662" s="125"/>
    </row>
    <row r="663" spans="2:11" ht="24" customHeight="1" x14ac:dyDescent="0.4">
      <c r="B663" s="140"/>
      <c r="K663" s="125"/>
    </row>
    <row r="664" spans="2:11" ht="24" customHeight="1" x14ac:dyDescent="0.4">
      <c r="B664" s="140"/>
      <c r="K664" s="125"/>
    </row>
    <row r="665" spans="2:11" ht="24" customHeight="1" x14ac:dyDescent="0.4">
      <c r="B665" s="140"/>
      <c r="K665" s="125"/>
    </row>
    <row r="666" spans="2:11" ht="24" customHeight="1" x14ac:dyDescent="0.4">
      <c r="B666" s="140"/>
      <c r="K666" s="125"/>
    </row>
    <row r="667" spans="2:11" ht="24" customHeight="1" x14ac:dyDescent="0.4">
      <c r="B667" s="140"/>
      <c r="K667" s="125"/>
    </row>
    <row r="668" spans="2:11" ht="24" customHeight="1" x14ac:dyDescent="0.4">
      <c r="B668" s="140"/>
      <c r="K668" s="125"/>
    </row>
    <row r="669" spans="2:11" ht="24" customHeight="1" x14ac:dyDescent="0.4">
      <c r="B669" s="140"/>
      <c r="K669" s="125"/>
    </row>
    <row r="670" spans="2:11" ht="24" customHeight="1" x14ac:dyDescent="0.4">
      <c r="B670" s="140"/>
      <c r="K670" s="125"/>
    </row>
    <row r="671" spans="2:11" ht="24" customHeight="1" x14ac:dyDescent="0.4">
      <c r="B671" s="140"/>
      <c r="K671" s="125"/>
    </row>
    <row r="672" spans="2:11" ht="24" customHeight="1" x14ac:dyDescent="0.4">
      <c r="B672" s="140"/>
      <c r="K672" s="125"/>
    </row>
    <row r="673" spans="2:11" ht="24" customHeight="1" x14ac:dyDescent="0.4">
      <c r="B673" s="140"/>
      <c r="K673" s="125"/>
    </row>
    <row r="674" spans="2:11" ht="24" customHeight="1" x14ac:dyDescent="0.4">
      <c r="B674" s="140"/>
      <c r="K674" s="125"/>
    </row>
    <row r="675" spans="2:11" ht="24" customHeight="1" x14ac:dyDescent="0.4">
      <c r="B675" s="140"/>
      <c r="K675" s="125"/>
    </row>
    <row r="676" spans="2:11" ht="24" customHeight="1" x14ac:dyDescent="0.4">
      <c r="B676" s="140"/>
      <c r="K676" s="125"/>
    </row>
    <row r="677" spans="2:11" ht="24" customHeight="1" x14ac:dyDescent="0.4">
      <c r="B677" s="140"/>
      <c r="K677" s="125"/>
    </row>
    <row r="678" spans="2:11" ht="24" customHeight="1" x14ac:dyDescent="0.4">
      <c r="B678" s="140"/>
      <c r="K678" s="125"/>
    </row>
    <row r="679" spans="2:11" ht="24" customHeight="1" x14ac:dyDescent="0.4">
      <c r="B679" s="140"/>
      <c r="K679" s="125"/>
    </row>
    <row r="680" spans="2:11" ht="24" customHeight="1" x14ac:dyDescent="0.4">
      <c r="B680" s="140"/>
      <c r="K680" s="125"/>
    </row>
    <row r="681" spans="2:11" ht="24" customHeight="1" x14ac:dyDescent="0.4">
      <c r="B681" s="140"/>
      <c r="K681" s="125"/>
    </row>
    <row r="682" spans="2:11" ht="24" customHeight="1" x14ac:dyDescent="0.4">
      <c r="B682" s="140"/>
      <c r="K682" s="125"/>
    </row>
    <row r="683" spans="2:11" ht="24" customHeight="1" x14ac:dyDescent="0.4">
      <c r="B683" s="140"/>
      <c r="K683" s="125"/>
    </row>
    <row r="684" spans="2:11" ht="24" customHeight="1" x14ac:dyDescent="0.4">
      <c r="B684" s="140"/>
      <c r="K684" s="125"/>
    </row>
    <row r="685" spans="2:11" ht="24" customHeight="1" x14ac:dyDescent="0.4">
      <c r="B685" s="140"/>
      <c r="K685" s="125"/>
    </row>
    <row r="686" spans="2:11" ht="24" customHeight="1" x14ac:dyDescent="0.4">
      <c r="B686" s="140"/>
      <c r="K686" s="125"/>
    </row>
    <row r="687" spans="2:11" ht="24" customHeight="1" x14ac:dyDescent="0.4">
      <c r="B687" s="140"/>
      <c r="K687" s="125"/>
    </row>
    <row r="688" spans="2:11" ht="24" customHeight="1" x14ac:dyDescent="0.4">
      <c r="B688" s="140"/>
      <c r="K688" s="125"/>
    </row>
    <row r="689" spans="2:11" ht="24" customHeight="1" x14ac:dyDescent="0.4">
      <c r="B689" s="140"/>
      <c r="K689" s="125"/>
    </row>
    <row r="690" spans="2:11" ht="24" customHeight="1" x14ac:dyDescent="0.4">
      <c r="B690" s="140"/>
      <c r="K690" s="125"/>
    </row>
    <row r="691" spans="2:11" ht="24" customHeight="1" x14ac:dyDescent="0.4">
      <c r="B691" s="140"/>
      <c r="K691" s="125"/>
    </row>
    <row r="692" spans="2:11" ht="24" customHeight="1" x14ac:dyDescent="0.4">
      <c r="B692" s="140"/>
      <c r="K692" s="125"/>
    </row>
    <row r="693" spans="2:11" ht="24" customHeight="1" x14ac:dyDescent="0.4">
      <c r="B693" s="140"/>
      <c r="K693" s="125"/>
    </row>
    <row r="694" spans="2:11" ht="24" customHeight="1" x14ac:dyDescent="0.4">
      <c r="B694" s="140"/>
      <c r="K694" s="125"/>
    </row>
    <row r="695" spans="2:11" ht="24" customHeight="1" x14ac:dyDescent="0.4">
      <c r="B695" s="140"/>
      <c r="K695" s="125"/>
    </row>
    <row r="696" spans="2:11" ht="24" customHeight="1" x14ac:dyDescent="0.4">
      <c r="B696" s="140"/>
      <c r="K696" s="125"/>
    </row>
    <row r="697" spans="2:11" ht="24" customHeight="1" x14ac:dyDescent="0.4">
      <c r="B697" s="140"/>
      <c r="K697" s="125"/>
    </row>
    <row r="698" spans="2:11" ht="24" customHeight="1" x14ac:dyDescent="0.4">
      <c r="B698" s="140"/>
      <c r="K698" s="125"/>
    </row>
    <row r="699" spans="2:11" ht="24" customHeight="1" x14ac:dyDescent="0.4">
      <c r="B699" s="140"/>
      <c r="K699" s="125"/>
    </row>
    <row r="700" spans="2:11" ht="24" customHeight="1" x14ac:dyDescent="0.4">
      <c r="B700" s="140"/>
      <c r="K700" s="125"/>
    </row>
    <row r="701" spans="2:11" ht="24" customHeight="1" x14ac:dyDescent="0.4">
      <c r="B701" s="140"/>
      <c r="K701" s="125"/>
    </row>
    <row r="702" spans="2:11" ht="24" customHeight="1" x14ac:dyDescent="0.4">
      <c r="B702" s="140"/>
      <c r="K702" s="125"/>
    </row>
    <row r="703" spans="2:11" ht="24" customHeight="1" x14ac:dyDescent="0.4">
      <c r="B703" s="140"/>
      <c r="K703" s="125"/>
    </row>
    <row r="704" spans="2:11" ht="24" customHeight="1" x14ac:dyDescent="0.4">
      <c r="B704" s="140"/>
      <c r="K704" s="125"/>
    </row>
    <row r="705" spans="2:11" ht="24" customHeight="1" x14ac:dyDescent="0.4">
      <c r="B705" s="140"/>
      <c r="K705" s="125"/>
    </row>
    <row r="706" spans="2:11" ht="24" customHeight="1" x14ac:dyDescent="0.4">
      <c r="B706" s="140"/>
      <c r="K706" s="125"/>
    </row>
    <row r="707" spans="2:11" ht="24" customHeight="1" x14ac:dyDescent="0.4">
      <c r="B707" s="140"/>
      <c r="K707" s="125"/>
    </row>
    <row r="708" spans="2:11" ht="24" customHeight="1" x14ac:dyDescent="0.4">
      <c r="B708" s="140"/>
      <c r="K708" s="125"/>
    </row>
    <row r="709" spans="2:11" ht="24" customHeight="1" x14ac:dyDescent="0.4">
      <c r="B709" s="140"/>
      <c r="K709" s="125"/>
    </row>
    <row r="710" spans="2:11" ht="24" customHeight="1" x14ac:dyDescent="0.4">
      <c r="B710" s="140"/>
      <c r="K710" s="125"/>
    </row>
    <row r="711" spans="2:11" ht="24" customHeight="1" x14ac:dyDescent="0.4">
      <c r="B711" s="140"/>
      <c r="K711" s="125"/>
    </row>
    <row r="712" spans="2:11" ht="24" customHeight="1" x14ac:dyDescent="0.4">
      <c r="B712" s="140"/>
      <c r="K712" s="125"/>
    </row>
    <row r="713" spans="2:11" ht="24" customHeight="1" x14ac:dyDescent="0.4">
      <c r="B713" s="140"/>
      <c r="K713" s="125"/>
    </row>
    <row r="714" spans="2:11" ht="24" customHeight="1" x14ac:dyDescent="0.4">
      <c r="B714" s="140"/>
      <c r="K714" s="125"/>
    </row>
    <row r="715" spans="2:11" ht="24" customHeight="1" x14ac:dyDescent="0.4">
      <c r="B715" s="140"/>
      <c r="K715" s="125"/>
    </row>
    <row r="716" spans="2:11" ht="24" customHeight="1" x14ac:dyDescent="0.4">
      <c r="B716" s="140"/>
      <c r="K716" s="125"/>
    </row>
    <row r="717" spans="2:11" ht="24" customHeight="1" x14ac:dyDescent="0.4">
      <c r="B717" s="140"/>
      <c r="K717" s="125"/>
    </row>
    <row r="718" spans="2:11" ht="24" customHeight="1" x14ac:dyDescent="0.4">
      <c r="B718" s="140"/>
      <c r="K718" s="125"/>
    </row>
    <row r="719" spans="2:11" ht="24" customHeight="1" x14ac:dyDescent="0.4">
      <c r="B719" s="140"/>
      <c r="K719" s="125"/>
    </row>
    <row r="720" spans="2:11" ht="24" customHeight="1" x14ac:dyDescent="0.4">
      <c r="B720" s="140"/>
      <c r="K720" s="125"/>
    </row>
    <row r="721" spans="2:11" ht="24" customHeight="1" x14ac:dyDescent="0.4">
      <c r="B721" s="140"/>
      <c r="K721" s="125"/>
    </row>
    <row r="722" spans="2:11" ht="24" customHeight="1" x14ac:dyDescent="0.4">
      <c r="B722" s="140"/>
      <c r="K722" s="125"/>
    </row>
    <row r="723" spans="2:11" ht="24" customHeight="1" x14ac:dyDescent="0.4">
      <c r="B723" s="140"/>
      <c r="K723" s="125"/>
    </row>
    <row r="724" spans="2:11" ht="24" customHeight="1" x14ac:dyDescent="0.4">
      <c r="B724" s="140"/>
      <c r="K724" s="125"/>
    </row>
    <row r="725" spans="2:11" ht="24" customHeight="1" x14ac:dyDescent="0.4">
      <c r="B725" s="140"/>
      <c r="K725" s="125"/>
    </row>
    <row r="726" spans="2:11" ht="24" customHeight="1" x14ac:dyDescent="0.4">
      <c r="B726" s="140"/>
      <c r="K726" s="125"/>
    </row>
    <row r="727" spans="2:11" ht="24" customHeight="1" x14ac:dyDescent="0.4">
      <c r="B727" s="140"/>
      <c r="K727" s="125"/>
    </row>
    <row r="728" spans="2:11" ht="24" customHeight="1" x14ac:dyDescent="0.4">
      <c r="B728" s="140"/>
      <c r="K728" s="125"/>
    </row>
    <row r="729" spans="2:11" ht="24" customHeight="1" x14ac:dyDescent="0.4">
      <c r="B729" s="140"/>
      <c r="K729" s="125"/>
    </row>
    <row r="730" spans="2:11" ht="24" customHeight="1" x14ac:dyDescent="0.4">
      <c r="B730" s="140"/>
      <c r="K730" s="125"/>
    </row>
    <row r="731" spans="2:11" ht="24" customHeight="1" x14ac:dyDescent="0.4">
      <c r="B731" s="140"/>
      <c r="K731" s="125"/>
    </row>
    <row r="732" spans="2:11" ht="24" customHeight="1" x14ac:dyDescent="0.4">
      <c r="B732" s="140"/>
      <c r="K732" s="125"/>
    </row>
    <row r="733" spans="2:11" ht="24" customHeight="1" x14ac:dyDescent="0.4">
      <c r="B733" s="140"/>
      <c r="K733" s="125"/>
    </row>
    <row r="734" spans="2:11" ht="24" customHeight="1" x14ac:dyDescent="0.4">
      <c r="B734" s="140"/>
      <c r="K734" s="125"/>
    </row>
    <row r="735" spans="2:11" ht="24" customHeight="1" x14ac:dyDescent="0.4">
      <c r="B735" s="140"/>
      <c r="K735" s="125"/>
    </row>
    <row r="736" spans="2:11" ht="24" customHeight="1" x14ac:dyDescent="0.4">
      <c r="B736" s="140"/>
      <c r="K736" s="125"/>
    </row>
    <row r="737" spans="2:11" ht="24" customHeight="1" x14ac:dyDescent="0.4">
      <c r="B737" s="140"/>
      <c r="K737" s="125"/>
    </row>
    <row r="738" spans="2:11" ht="24" customHeight="1" x14ac:dyDescent="0.4">
      <c r="B738" s="140"/>
      <c r="K738" s="125"/>
    </row>
    <row r="739" spans="2:11" ht="24" customHeight="1" x14ac:dyDescent="0.4">
      <c r="B739" s="140"/>
      <c r="K739" s="125"/>
    </row>
    <row r="740" spans="2:11" ht="24" customHeight="1" x14ac:dyDescent="0.4">
      <c r="B740" s="140"/>
      <c r="K740" s="125"/>
    </row>
    <row r="741" spans="2:11" ht="24" customHeight="1" x14ac:dyDescent="0.4">
      <c r="B741" s="140"/>
      <c r="K741" s="125"/>
    </row>
    <row r="742" spans="2:11" ht="24" customHeight="1" x14ac:dyDescent="0.4">
      <c r="B742" s="140"/>
      <c r="K742" s="125"/>
    </row>
    <row r="743" spans="2:11" ht="24" customHeight="1" x14ac:dyDescent="0.4">
      <c r="B743" s="140"/>
      <c r="K743" s="125"/>
    </row>
    <row r="744" spans="2:11" ht="24" customHeight="1" x14ac:dyDescent="0.4">
      <c r="B744" s="140"/>
      <c r="K744" s="125"/>
    </row>
    <row r="745" spans="2:11" ht="24" customHeight="1" x14ac:dyDescent="0.4">
      <c r="B745" s="140"/>
      <c r="K745" s="125"/>
    </row>
    <row r="746" spans="2:11" ht="24" customHeight="1" x14ac:dyDescent="0.4">
      <c r="B746" s="140"/>
      <c r="K746" s="125"/>
    </row>
    <row r="747" spans="2:11" ht="24" customHeight="1" x14ac:dyDescent="0.4">
      <c r="B747" s="140"/>
      <c r="K747" s="125"/>
    </row>
    <row r="748" spans="2:11" ht="24" customHeight="1" x14ac:dyDescent="0.4">
      <c r="B748" s="140"/>
      <c r="K748" s="125"/>
    </row>
    <row r="749" spans="2:11" ht="24" customHeight="1" x14ac:dyDescent="0.4">
      <c r="B749" s="140"/>
      <c r="K749" s="125"/>
    </row>
    <row r="750" spans="2:11" ht="24" customHeight="1" x14ac:dyDescent="0.4">
      <c r="B750" s="140"/>
      <c r="K750" s="125"/>
    </row>
    <row r="751" spans="2:11" ht="24" customHeight="1" x14ac:dyDescent="0.4">
      <c r="B751" s="140"/>
      <c r="K751" s="125"/>
    </row>
    <row r="752" spans="2:11" ht="24" customHeight="1" x14ac:dyDescent="0.4">
      <c r="B752" s="140"/>
      <c r="K752" s="125"/>
    </row>
    <row r="753" spans="2:11" ht="24" customHeight="1" x14ac:dyDescent="0.4">
      <c r="B753" s="140"/>
      <c r="K753" s="125"/>
    </row>
    <row r="754" spans="2:11" ht="24" customHeight="1" x14ac:dyDescent="0.4">
      <c r="B754" s="140"/>
      <c r="K754" s="125"/>
    </row>
    <row r="755" spans="2:11" ht="24" customHeight="1" x14ac:dyDescent="0.4">
      <c r="B755" s="140"/>
      <c r="K755" s="125"/>
    </row>
    <row r="756" spans="2:11" ht="24" customHeight="1" x14ac:dyDescent="0.4">
      <c r="B756" s="140"/>
      <c r="K756" s="125"/>
    </row>
    <row r="757" spans="2:11" ht="24" customHeight="1" x14ac:dyDescent="0.4">
      <c r="B757" s="140"/>
      <c r="K757" s="125"/>
    </row>
    <row r="758" spans="2:11" ht="24" customHeight="1" x14ac:dyDescent="0.4">
      <c r="B758" s="140"/>
      <c r="K758" s="125"/>
    </row>
    <row r="759" spans="2:11" ht="24" customHeight="1" x14ac:dyDescent="0.4">
      <c r="B759" s="140"/>
      <c r="K759" s="125"/>
    </row>
    <row r="760" spans="2:11" ht="24" customHeight="1" x14ac:dyDescent="0.4">
      <c r="B760" s="140"/>
      <c r="K760" s="125"/>
    </row>
    <row r="761" spans="2:11" ht="24" customHeight="1" x14ac:dyDescent="0.4">
      <c r="B761" s="140"/>
      <c r="K761" s="125"/>
    </row>
    <row r="762" spans="2:11" ht="24" customHeight="1" x14ac:dyDescent="0.4">
      <c r="B762" s="140"/>
      <c r="K762" s="125"/>
    </row>
    <row r="763" spans="2:11" ht="24" customHeight="1" x14ac:dyDescent="0.4">
      <c r="B763" s="140"/>
      <c r="K763" s="125"/>
    </row>
    <row r="764" spans="2:11" ht="24" customHeight="1" x14ac:dyDescent="0.4">
      <c r="B764" s="140"/>
      <c r="K764" s="125"/>
    </row>
    <row r="765" spans="2:11" ht="24" customHeight="1" x14ac:dyDescent="0.4">
      <c r="B765" s="140"/>
      <c r="K765" s="125"/>
    </row>
    <row r="766" spans="2:11" ht="24" customHeight="1" x14ac:dyDescent="0.4">
      <c r="B766" s="140"/>
      <c r="K766" s="125"/>
    </row>
    <row r="767" spans="2:11" ht="24" customHeight="1" x14ac:dyDescent="0.4">
      <c r="B767" s="140"/>
      <c r="K767" s="125"/>
    </row>
    <row r="768" spans="2:11" ht="24" customHeight="1" x14ac:dyDescent="0.4">
      <c r="B768" s="140"/>
      <c r="K768" s="125"/>
    </row>
    <row r="769" spans="2:11" ht="24" customHeight="1" x14ac:dyDescent="0.4">
      <c r="B769" s="140"/>
      <c r="K769" s="125"/>
    </row>
    <row r="770" spans="2:11" ht="24" customHeight="1" x14ac:dyDescent="0.4">
      <c r="B770" s="140"/>
      <c r="K770" s="125"/>
    </row>
    <row r="771" spans="2:11" ht="24" customHeight="1" x14ac:dyDescent="0.4">
      <c r="B771" s="140"/>
      <c r="K771" s="125"/>
    </row>
    <row r="772" spans="2:11" ht="24" customHeight="1" x14ac:dyDescent="0.4">
      <c r="B772" s="140"/>
      <c r="K772" s="125"/>
    </row>
    <row r="773" spans="2:11" ht="24" customHeight="1" x14ac:dyDescent="0.4">
      <c r="B773" s="140"/>
      <c r="K773" s="125"/>
    </row>
    <row r="774" spans="2:11" ht="24" customHeight="1" x14ac:dyDescent="0.4">
      <c r="B774" s="140"/>
      <c r="K774" s="125"/>
    </row>
    <row r="775" spans="2:11" ht="24" customHeight="1" x14ac:dyDescent="0.4">
      <c r="B775" s="140"/>
      <c r="K775" s="125"/>
    </row>
    <row r="776" spans="2:11" ht="24" customHeight="1" x14ac:dyDescent="0.4">
      <c r="B776" s="140"/>
      <c r="K776" s="125"/>
    </row>
    <row r="777" spans="2:11" ht="24" customHeight="1" x14ac:dyDescent="0.4">
      <c r="B777" s="140"/>
      <c r="K777" s="125"/>
    </row>
    <row r="778" spans="2:11" ht="24" customHeight="1" x14ac:dyDescent="0.4">
      <c r="B778" s="140"/>
      <c r="K778" s="125"/>
    </row>
    <row r="779" spans="2:11" ht="24" customHeight="1" x14ac:dyDescent="0.4">
      <c r="B779" s="140"/>
      <c r="K779" s="125"/>
    </row>
    <row r="780" spans="2:11" ht="24" customHeight="1" x14ac:dyDescent="0.4">
      <c r="B780" s="140"/>
      <c r="K780" s="125"/>
    </row>
    <row r="781" spans="2:11" ht="24" customHeight="1" x14ac:dyDescent="0.4">
      <c r="B781" s="140"/>
      <c r="K781" s="125"/>
    </row>
    <row r="782" spans="2:11" ht="24" customHeight="1" x14ac:dyDescent="0.4">
      <c r="B782" s="140"/>
      <c r="K782" s="125"/>
    </row>
    <row r="783" spans="2:11" ht="24" customHeight="1" x14ac:dyDescent="0.4">
      <c r="B783" s="140"/>
      <c r="K783" s="125"/>
    </row>
    <row r="784" spans="2:11" ht="24" customHeight="1" x14ac:dyDescent="0.4">
      <c r="B784" s="140"/>
      <c r="K784" s="125"/>
    </row>
    <row r="785" spans="2:11" ht="24" customHeight="1" x14ac:dyDescent="0.4">
      <c r="B785" s="140"/>
      <c r="K785" s="125"/>
    </row>
    <row r="786" spans="2:11" ht="24" customHeight="1" x14ac:dyDescent="0.4">
      <c r="B786" s="140"/>
      <c r="K786" s="125"/>
    </row>
    <row r="787" spans="2:11" ht="24" customHeight="1" x14ac:dyDescent="0.4">
      <c r="B787" s="140"/>
      <c r="K787" s="125"/>
    </row>
    <row r="788" spans="2:11" ht="24" customHeight="1" x14ac:dyDescent="0.4">
      <c r="B788" s="140"/>
      <c r="K788" s="125"/>
    </row>
    <row r="789" spans="2:11" ht="24" customHeight="1" x14ac:dyDescent="0.4">
      <c r="B789" s="140"/>
      <c r="K789" s="125"/>
    </row>
    <row r="790" spans="2:11" ht="24" customHeight="1" x14ac:dyDescent="0.4">
      <c r="B790" s="140"/>
      <c r="K790" s="125"/>
    </row>
    <row r="791" spans="2:11" ht="24" customHeight="1" x14ac:dyDescent="0.4">
      <c r="B791" s="140"/>
      <c r="K791" s="125"/>
    </row>
    <row r="792" spans="2:11" ht="24" customHeight="1" x14ac:dyDescent="0.4">
      <c r="B792" s="140"/>
      <c r="K792" s="125"/>
    </row>
    <row r="793" spans="2:11" ht="24" customHeight="1" x14ac:dyDescent="0.4">
      <c r="B793" s="140"/>
      <c r="K793" s="125"/>
    </row>
    <row r="794" spans="2:11" ht="24" customHeight="1" x14ac:dyDescent="0.4">
      <c r="B794" s="140"/>
      <c r="K794" s="125"/>
    </row>
    <row r="795" spans="2:11" ht="24" customHeight="1" x14ac:dyDescent="0.4">
      <c r="B795" s="140"/>
      <c r="K795" s="125"/>
    </row>
    <row r="796" spans="2:11" ht="24" customHeight="1" x14ac:dyDescent="0.4">
      <c r="B796" s="140"/>
      <c r="K796" s="125"/>
    </row>
    <row r="797" spans="2:11" ht="24" customHeight="1" x14ac:dyDescent="0.4">
      <c r="B797" s="140"/>
      <c r="K797" s="125"/>
    </row>
    <row r="798" spans="2:11" ht="24" customHeight="1" x14ac:dyDescent="0.4">
      <c r="B798" s="140"/>
      <c r="K798" s="125"/>
    </row>
    <row r="799" spans="2:11" ht="24" customHeight="1" x14ac:dyDescent="0.4">
      <c r="B799" s="140"/>
      <c r="K799" s="125"/>
    </row>
    <row r="800" spans="2:11" ht="24" customHeight="1" x14ac:dyDescent="0.4">
      <c r="B800" s="140"/>
      <c r="K800" s="125"/>
    </row>
    <row r="801" spans="2:11" ht="24" customHeight="1" x14ac:dyDescent="0.4">
      <c r="B801" s="140"/>
      <c r="K801" s="125"/>
    </row>
    <row r="802" spans="2:11" ht="24" customHeight="1" x14ac:dyDescent="0.4">
      <c r="B802" s="140"/>
      <c r="K802" s="125"/>
    </row>
    <row r="803" spans="2:11" ht="24" customHeight="1" x14ac:dyDescent="0.4">
      <c r="B803" s="140"/>
      <c r="K803" s="125"/>
    </row>
    <row r="804" spans="2:11" ht="24" customHeight="1" x14ac:dyDescent="0.4">
      <c r="B804" s="140"/>
      <c r="K804" s="125"/>
    </row>
    <row r="805" spans="2:11" ht="24" customHeight="1" x14ac:dyDescent="0.4">
      <c r="B805" s="140"/>
      <c r="K805" s="125"/>
    </row>
    <row r="806" spans="2:11" ht="24" customHeight="1" x14ac:dyDescent="0.4">
      <c r="B806" s="140"/>
      <c r="K806" s="125"/>
    </row>
    <row r="807" spans="2:11" ht="24" customHeight="1" x14ac:dyDescent="0.4">
      <c r="B807" s="140"/>
      <c r="K807" s="125"/>
    </row>
    <row r="808" spans="2:11" ht="24" customHeight="1" x14ac:dyDescent="0.4">
      <c r="B808" s="140"/>
      <c r="K808" s="125"/>
    </row>
    <row r="809" spans="2:11" ht="24" customHeight="1" x14ac:dyDescent="0.4">
      <c r="B809" s="140"/>
      <c r="K809" s="125"/>
    </row>
    <row r="810" spans="2:11" ht="24" customHeight="1" x14ac:dyDescent="0.4">
      <c r="B810" s="140"/>
      <c r="K810" s="125"/>
    </row>
    <row r="811" spans="2:11" ht="24" customHeight="1" x14ac:dyDescent="0.4">
      <c r="B811" s="140"/>
      <c r="K811" s="125"/>
    </row>
    <row r="812" spans="2:11" ht="24" customHeight="1" x14ac:dyDescent="0.4">
      <c r="B812" s="140"/>
      <c r="K812" s="125"/>
    </row>
    <row r="813" spans="2:11" ht="24" customHeight="1" x14ac:dyDescent="0.4">
      <c r="B813" s="140"/>
      <c r="K813" s="125"/>
    </row>
    <row r="814" spans="2:11" ht="24" customHeight="1" x14ac:dyDescent="0.4">
      <c r="B814" s="140"/>
      <c r="K814" s="125"/>
    </row>
    <row r="815" spans="2:11" ht="24" customHeight="1" x14ac:dyDescent="0.4">
      <c r="B815" s="140"/>
      <c r="K815" s="125"/>
    </row>
    <row r="816" spans="2:11" ht="24" customHeight="1" x14ac:dyDescent="0.4">
      <c r="B816" s="140"/>
      <c r="K816" s="125"/>
    </row>
    <row r="817" spans="2:11" ht="24" customHeight="1" x14ac:dyDescent="0.4">
      <c r="B817" s="140"/>
      <c r="K817" s="125"/>
    </row>
    <row r="818" spans="2:11" ht="24" customHeight="1" x14ac:dyDescent="0.4">
      <c r="B818" s="140"/>
      <c r="K818" s="125"/>
    </row>
    <row r="819" spans="2:11" ht="24" customHeight="1" x14ac:dyDescent="0.4">
      <c r="B819" s="140"/>
      <c r="K819" s="125"/>
    </row>
    <row r="820" spans="2:11" ht="24" customHeight="1" x14ac:dyDescent="0.4">
      <c r="B820" s="140"/>
      <c r="K820" s="125"/>
    </row>
    <row r="821" spans="2:11" ht="24" customHeight="1" x14ac:dyDescent="0.4">
      <c r="B821" s="140"/>
      <c r="K821" s="125"/>
    </row>
    <row r="822" spans="2:11" ht="24" customHeight="1" x14ac:dyDescent="0.4">
      <c r="B822" s="140"/>
      <c r="K822" s="125"/>
    </row>
    <row r="823" spans="2:11" ht="24" customHeight="1" x14ac:dyDescent="0.4">
      <c r="B823" s="140"/>
      <c r="K823" s="125"/>
    </row>
    <row r="824" spans="2:11" ht="24" customHeight="1" x14ac:dyDescent="0.4">
      <c r="B824" s="140"/>
      <c r="K824" s="125"/>
    </row>
    <row r="825" spans="2:11" ht="24" customHeight="1" x14ac:dyDescent="0.4">
      <c r="B825" s="140"/>
      <c r="K825" s="125"/>
    </row>
    <row r="826" spans="2:11" ht="24" customHeight="1" x14ac:dyDescent="0.4">
      <c r="B826" s="140"/>
      <c r="K826" s="125"/>
    </row>
    <row r="827" spans="2:11" ht="24" customHeight="1" x14ac:dyDescent="0.4">
      <c r="B827" s="140"/>
      <c r="K827" s="125"/>
    </row>
    <row r="828" spans="2:11" ht="24" customHeight="1" x14ac:dyDescent="0.4">
      <c r="B828" s="140"/>
      <c r="K828" s="125"/>
    </row>
    <row r="829" spans="2:11" ht="24" customHeight="1" x14ac:dyDescent="0.4">
      <c r="B829" s="140"/>
      <c r="K829" s="125"/>
    </row>
    <row r="830" spans="2:11" ht="24" customHeight="1" x14ac:dyDescent="0.4">
      <c r="B830" s="140"/>
      <c r="K830" s="125"/>
    </row>
    <row r="831" spans="2:11" ht="24" customHeight="1" x14ac:dyDescent="0.4">
      <c r="B831" s="140"/>
      <c r="K831" s="125"/>
    </row>
    <row r="832" spans="2:11" ht="24" customHeight="1" x14ac:dyDescent="0.4">
      <c r="B832" s="140"/>
      <c r="K832" s="125"/>
    </row>
    <row r="833" spans="2:11" ht="24" customHeight="1" x14ac:dyDescent="0.4">
      <c r="B833" s="140"/>
      <c r="K833" s="125"/>
    </row>
    <row r="834" spans="2:11" ht="24" customHeight="1" x14ac:dyDescent="0.4">
      <c r="B834" s="140"/>
      <c r="K834" s="125"/>
    </row>
    <row r="835" spans="2:11" ht="24" customHeight="1" x14ac:dyDescent="0.4">
      <c r="B835" s="140"/>
      <c r="K835" s="125"/>
    </row>
    <row r="836" spans="2:11" ht="24" customHeight="1" x14ac:dyDescent="0.4">
      <c r="B836" s="140"/>
      <c r="K836" s="125"/>
    </row>
    <row r="837" spans="2:11" ht="24" customHeight="1" x14ac:dyDescent="0.4">
      <c r="B837" s="140"/>
      <c r="K837" s="125"/>
    </row>
    <row r="838" spans="2:11" ht="24" customHeight="1" x14ac:dyDescent="0.4">
      <c r="B838" s="140"/>
      <c r="K838" s="125"/>
    </row>
    <row r="839" spans="2:11" ht="24" customHeight="1" x14ac:dyDescent="0.4">
      <c r="B839" s="140"/>
      <c r="K839" s="125"/>
    </row>
    <row r="840" spans="2:11" ht="24" customHeight="1" x14ac:dyDescent="0.4">
      <c r="B840" s="140"/>
      <c r="K840" s="125"/>
    </row>
    <row r="841" spans="2:11" ht="24" customHeight="1" x14ac:dyDescent="0.4">
      <c r="B841" s="140"/>
      <c r="K841" s="125"/>
    </row>
    <row r="842" spans="2:11" ht="24" customHeight="1" x14ac:dyDescent="0.4">
      <c r="B842" s="140"/>
      <c r="K842" s="125"/>
    </row>
    <row r="843" spans="2:11" ht="24" customHeight="1" x14ac:dyDescent="0.4">
      <c r="B843" s="140"/>
      <c r="K843" s="125"/>
    </row>
    <row r="844" spans="2:11" ht="24" customHeight="1" x14ac:dyDescent="0.4">
      <c r="B844" s="140"/>
      <c r="K844" s="125"/>
    </row>
    <row r="845" spans="2:11" ht="24" customHeight="1" x14ac:dyDescent="0.4">
      <c r="B845" s="140"/>
      <c r="K845" s="125"/>
    </row>
    <row r="846" spans="2:11" ht="24" customHeight="1" x14ac:dyDescent="0.4">
      <c r="B846" s="140"/>
      <c r="K846" s="125"/>
    </row>
    <row r="847" spans="2:11" ht="24" customHeight="1" x14ac:dyDescent="0.4">
      <c r="B847" s="140"/>
      <c r="K847" s="125"/>
    </row>
    <row r="848" spans="2:11" ht="24" customHeight="1" x14ac:dyDescent="0.4">
      <c r="B848" s="140"/>
      <c r="K848" s="125"/>
    </row>
    <row r="849" spans="2:11" ht="24" customHeight="1" x14ac:dyDescent="0.4">
      <c r="B849" s="140"/>
      <c r="K849" s="125"/>
    </row>
    <row r="850" spans="2:11" ht="24" customHeight="1" x14ac:dyDescent="0.4">
      <c r="B850" s="140"/>
      <c r="K850" s="125"/>
    </row>
    <row r="851" spans="2:11" ht="24" customHeight="1" x14ac:dyDescent="0.4">
      <c r="B851" s="140"/>
      <c r="K851" s="125"/>
    </row>
    <row r="852" spans="2:11" ht="24" customHeight="1" x14ac:dyDescent="0.4">
      <c r="B852" s="140"/>
      <c r="K852" s="125"/>
    </row>
    <row r="853" spans="2:11" ht="24" customHeight="1" x14ac:dyDescent="0.4">
      <c r="B853" s="140"/>
      <c r="K853" s="125"/>
    </row>
    <row r="854" spans="2:11" ht="24" customHeight="1" x14ac:dyDescent="0.4">
      <c r="B854" s="140"/>
      <c r="K854" s="125"/>
    </row>
    <row r="855" spans="2:11" ht="24" customHeight="1" x14ac:dyDescent="0.4">
      <c r="B855" s="140"/>
      <c r="K855" s="125"/>
    </row>
    <row r="856" spans="2:11" ht="24" customHeight="1" x14ac:dyDescent="0.4">
      <c r="B856" s="140"/>
      <c r="K856" s="125"/>
    </row>
    <row r="857" spans="2:11" ht="24" customHeight="1" x14ac:dyDescent="0.4">
      <c r="B857" s="140"/>
      <c r="K857" s="125"/>
    </row>
    <row r="858" spans="2:11" ht="24" customHeight="1" x14ac:dyDescent="0.4">
      <c r="B858" s="140"/>
      <c r="K858" s="125"/>
    </row>
    <row r="859" spans="2:11" ht="24" customHeight="1" x14ac:dyDescent="0.4">
      <c r="B859" s="140"/>
      <c r="K859" s="125"/>
    </row>
    <row r="860" spans="2:11" ht="24" customHeight="1" x14ac:dyDescent="0.4">
      <c r="B860" s="140"/>
      <c r="K860" s="125"/>
    </row>
    <row r="861" spans="2:11" ht="24" customHeight="1" x14ac:dyDescent="0.4">
      <c r="B861" s="140"/>
      <c r="K861" s="125"/>
    </row>
    <row r="862" spans="2:11" ht="24" customHeight="1" x14ac:dyDescent="0.4">
      <c r="B862" s="140"/>
      <c r="K862" s="125"/>
    </row>
    <row r="863" spans="2:11" ht="24" customHeight="1" x14ac:dyDescent="0.4">
      <c r="B863" s="140"/>
      <c r="K863" s="125"/>
    </row>
    <row r="864" spans="2:11" ht="24" customHeight="1" x14ac:dyDescent="0.4">
      <c r="B864" s="140"/>
      <c r="K864" s="125"/>
    </row>
    <row r="865" spans="2:11" ht="24" customHeight="1" x14ac:dyDescent="0.4">
      <c r="B865" s="140"/>
      <c r="K865" s="125"/>
    </row>
    <row r="866" spans="2:11" ht="24" customHeight="1" x14ac:dyDescent="0.4">
      <c r="B866" s="140"/>
      <c r="K866" s="125"/>
    </row>
    <row r="867" spans="2:11" ht="24" customHeight="1" x14ac:dyDescent="0.4">
      <c r="B867" s="140"/>
      <c r="K867" s="125"/>
    </row>
    <row r="868" spans="2:11" ht="24" customHeight="1" x14ac:dyDescent="0.4">
      <c r="B868" s="140"/>
      <c r="K868" s="125"/>
    </row>
    <row r="869" spans="2:11" ht="24" customHeight="1" x14ac:dyDescent="0.4">
      <c r="B869" s="140"/>
      <c r="K869" s="125"/>
    </row>
    <row r="870" spans="2:11" ht="24" customHeight="1" x14ac:dyDescent="0.4">
      <c r="B870" s="140"/>
      <c r="K870" s="125"/>
    </row>
    <row r="871" spans="2:11" ht="24" customHeight="1" x14ac:dyDescent="0.4">
      <c r="B871" s="140"/>
      <c r="K871" s="125"/>
    </row>
    <row r="872" spans="2:11" ht="24" customHeight="1" x14ac:dyDescent="0.4">
      <c r="B872" s="140"/>
      <c r="K872" s="125"/>
    </row>
    <row r="873" spans="2:11" ht="24" customHeight="1" x14ac:dyDescent="0.4">
      <c r="B873" s="140"/>
      <c r="K873" s="125"/>
    </row>
    <row r="874" spans="2:11" ht="24" customHeight="1" x14ac:dyDescent="0.4">
      <c r="B874" s="140"/>
      <c r="K874" s="125"/>
    </row>
    <row r="875" spans="2:11" ht="24" customHeight="1" x14ac:dyDescent="0.4">
      <c r="B875" s="140"/>
      <c r="K875" s="125"/>
    </row>
    <row r="876" spans="2:11" ht="24" customHeight="1" x14ac:dyDescent="0.4">
      <c r="B876" s="140"/>
      <c r="K876" s="125"/>
    </row>
    <row r="877" spans="2:11" ht="24" customHeight="1" x14ac:dyDescent="0.4">
      <c r="B877" s="140"/>
      <c r="K877" s="125"/>
    </row>
    <row r="878" spans="2:11" ht="24" customHeight="1" x14ac:dyDescent="0.4">
      <c r="B878" s="140"/>
      <c r="K878" s="125"/>
    </row>
    <row r="879" spans="2:11" ht="24" customHeight="1" x14ac:dyDescent="0.4">
      <c r="B879" s="140"/>
      <c r="K879" s="125"/>
    </row>
    <row r="880" spans="2:11" ht="24" customHeight="1" x14ac:dyDescent="0.4">
      <c r="B880" s="140"/>
      <c r="K880" s="125"/>
    </row>
    <row r="881" spans="2:11" ht="24" customHeight="1" x14ac:dyDescent="0.4">
      <c r="B881" s="140"/>
      <c r="K881" s="125"/>
    </row>
    <row r="882" spans="2:11" ht="24" customHeight="1" x14ac:dyDescent="0.4">
      <c r="B882" s="140"/>
      <c r="K882" s="125"/>
    </row>
    <row r="883" spans="2:11" ht="24" customHeight="1" x14ac:dyDescent="0.4">
      <c r="B883" s="140"/>
      <c r="K883" s="125"/>
    </row>
    <row r="884" spans="2:11" ht="24" customHeight="1" x14ac:dyDescent="0.4">
      <c r="B884" s="140"/>
      <c r="K884" s="125"/>
    </row>
    <row r="885" spans="2:11" ht="24" customHeight="1" x14ac:dyDescent="0.4">
      <c r="B885" s="140"/>
      <c r="K885" s="125"/>
    </row>
    <row r="886" spans="2:11" ht="24" customHeight="1" x14ac:dyDescent="0.4">
      <c r="B886" s="140"/>
      <c r="K886" s="125"/>
    </row>
    <row r="887" spans="2:11" ht="24" customHeight="1" x14ac:dyDescent="0.4">
      <c r="B887" s="140"/>
      <c r="K887" s="125"/>
    </row>
    <row r="888" spans="2:11" ht="24" customHeight="1" x14ac:dyDescent="0.4">
      <c r="B888" s="140"/>
      <c r="K888" s="125"/>
    </row>
    <row r="889" spans="2:11" ht="24" customHeight="1" x14ac:dyDescent="0.4">
      <c r="B889" s="140"/>
      <c r="K889" s="125"/>
    </row>
    <row r="890" spans="2:11" ht="24" customHeight="1" x14ac:dyDescent="0.4">
      <c r="B890" s="140"/>
      <c r="K890" s="125"/>
    </row>
    <row r="891" spans="2:11" ht="24" customHeight="1" x14ac:dyDescent="0.4">
      <c r="B891" s="140"/>
      <c r="K891" s="125"/>
    </row>
    <row r="892" spans="2:11" ht="24" customHeight="1" x14ac:dyDescent="0.4">
      <c r="B892" s="140"/>
      <c r="K892" s="125"/>
    </row>
    <row r="893" spans="2:11" ht="24" customHeight="1" x14ac:dyDescent="0.4">
      <c r="B893" s="140"/>
      <c r="K893" s="125"/>
    </row>
    <row r="894" spans="2:11" ht="24" customHeight="1" x14ac:dyDescent="0.4">
      <c r="B894" s="140"/>
      <c r="K894" s="125"/>
    </row>
    <row r="895" spans="2:11" ht="24" customHeight="1" x14ac:dyDescent="0.4">
      <c r="B895" s="140"/>
      <c r="K895" s="125"/>
    </row>
    <row r="896" spans="2:11" ht="24" customHeight="1" x14ac:dyDescent="0.4">
      <c r="B896" s="140"/>
      <c r="K896" s="125"/>
    </row>
    <row r="897" spans="2:11" ht="24" customHeight="1" x14ac:dyDescent="0.4">
      <c r="B897" s="140"/>
      <c r="K897" s="125"/>
    </row>
    <row r="898" spans="2:11" ht="24" customHeight="1" x14ac:dyDescent="0.4">
      <c r="B898" s="140"/>
      <c r="K898" s="125"/>
    </row>
    <row r="899" spans="2:11" ht="24" customHeight="1" x14ac:dyDescent="0.4">
      <c r="B899" s="140"/>
      <c r="K899" s="125"/>
    </row>
    <row r="900" spans="2:11" ht="24" customHeight="1" x14ac:dyDescent="0.4">
      <c r="B900" s="140"/>
      <c r="K900" s="125"/>
    </row>
    <row r="901" spans="2:11" ht="24" customHeight="1" x14ac:dyDescent="0.4">
      <c r="B901" s="140"/>
      <c r="K901" s="125"/>
    </row>
    <row r="902" spans="2:11" ht="24" customHeight="1" x14ac:dyDescent="0.4">
      <c r="B902" s="140"/>
      <c r="K902" s="125"/>
    </row>
    <row r="903" spans="2:11" ht="24" customHeight="1" x14ac:dyDescent="0.4">
      <c r="B903" s="140"/>
      <c r="K903" s="125"/>
    </row>
    <row r="904" spans="2:11" ht="24" customHeight="1" x14ac:dyDescent="0.4">
      <c r="B904" s="140"/>
      <c r="K904" s="125"/>
    </row>
    <row r="905" spans="2:11" ht="24" customHeight="1" x14ac:dyDescent="0.4">
      <c r="B905" s="140"/>
      <c r="K905" s="125"/>
    </row>
    <row r="906" spans="2:11" ht="24" customHeight="1" x14ac:dyDescent="0.4">
      <c r="B906" s="140"/>
      <c r="K906" s="125"/>
    </row>
    <row r="907" spans="2:11" ht="24" customHeight="1" x14ac:dyDescent="0.4">
      <c r="B907" s="140"/>
      <c r="K907" s="125"/>
    </row>
    <row r="908" spans="2:11" ht="24" customHeight="1" x14ac:dyDescent="0.4">
      <c r="B908" s="140"/>
      <c r="K908" s="125"/>
    </row>
    <row r="909" spans="2:11" ht="24" customHeight="1" x14ac:dyDescent="0.4">
      <c r="B909" s="140"/>
      <c r="K909" s="125"/>
    </row>
    <row r="910" spans="2:11" ht="24" customHeight="1" x14ac:dyDescent="0.4">
      <c r="B910" s="140"/>
      <c r="K910" s="125"/>
    </row>
    <row r="911" spans="2:11" ht="24" customHeight="1" x14ac:dyDescent="0.4">
      <c r="B911" s="140"/>
      <c r="K911" s="125"/>
    </row>
    <row r="912" spans="2:11" ht="24" customHeight="1" x14ac:dyDescent="0.4">
      <c r="B912" s="140"/>
      <c r="K912" s="125"/>
    </row>
    <row r="913" spans="2:11" ht="24" customHeight="1" x14ac:dyDescent="0.4">
      <c r="B913" s="140"/>
      <c r="K913" s="125"/>
    </row>
    <row r="914" spans="2:11" ht="24" customHeight="1" x14ac:dyDescent="0.4">
      <c r="B914" s="140"/>
      <c r="K914" s="125"/>
    </row>
    <row r="915" spans="2:11" ht="24" customHeight="1" x14ac:dyDescent="0.4">
      <c r="B915" s="140"/>
      <c r="K915" s="125"/>
    </row>
    <row r="916" spans="2:11" ht="24" customHeight="1" x14ac:dyDescent="0.4">
      <c r="B916" s="140"/>
      <c r="K916" s="125"/>
    </row>
    <row r="917" spans="2:11" ht="24" customHeight="1" x14ac:dyDescent="0.4">
      <c r="B917" s="140"/>
      <c r="K917" s="125"/>
    </row>
    <row r="918" spans="2:11" ht="24" customHeight="1" x14ac:dyDescent="0.4">
      <c r="B918" s="140"/>
      <c r="K918" s="125"/>
    </row>
    <row r="919" spans="2:11" ht="24" customHeight="1" x14ac:dyDescent="0.4">
      <c r="B919" s="140"/>
      <c r="K919" s="125"/>
    </row>
    <row r="920" spans="2:11" ht="24" customHeight="1" x14ac:dyDescent="0.4">
      <c r="B920" s="140"/>
      <c r="K920" s="125"/>
    </row>
    <row r="921" spans="2:11" ht="24" customHeight="1" x14ac:dyDescent="0.4">
      <c r="B921" s="140"/>
      <c r="K921" s="125"/>
    </row>
    <row r="922" spans="2:11" ht="24" customHeight="1" x14ac:dyDescent="0.4">
      <c r="B922" s="140"/>
      <c r="K922" s="125"/>
    </row>
    <row r="923" spans="2:11" ht="24" customHeight="1" x14ac:dyDescent="0.4">
      <c r="B923" s="140"/>
      <c r="K923" s="125"/>
    </row>
    <row r="924" spans="2:11" ht="24" customHeight="1" x14ac:dyDescent="0.4">
      <c r="B924" s="140"/>
      <c r="K924" s="125"/>
    </row>
    <row r="925" spans="2:11" ht="24" customHeight="1" x14ac:dyDescent="0.4">
      <c r="B925" s="140"/>
      <c r="K925" s="125"/>
    </row>
    <row r="926" spans="2:11" ht="24" customHeight="1" x14ac:dyDescent="0.4">
      <c r="B926" s="140"/>
      <c r="K926" s="125"/>
    </row>
    <row r="927" spans="2:11" ht="24" customHeight="1" x14ac:dyDescent="0.4">
      <c r="B927" s="140"/>
      <c r="K927" s="125"/>
    </row>
    <row r="928" spans="2:11" ht="24" customHeight="1" x14ac:dyDescent="0.4">
      <c r="B928" s="140"/>
      <c r="K928" s="125"/>
    </row>
    <row r="929" spans="2:11" ht="24" customHeight="1" x14ac:dyDescent="0.4">
      <c r="B929" s="140"/>
      <c r="K929" s="125"/>
    </row>
    <row r="930" spans="2:11" ht="24" customHeight="1" x14ac:dyDescent="0.4">
      <c r="B930" s="140"/>
      <c r="K930" s="125"/>
    </row>
    <row r="931" spans="2:11" ht="24" customHeight="1" x14ac:dyDescent="0.4">
      <c r="B931" s="140"/>
      <c r="K931" s="125"/>
    </row>
    <row r="932" spans="2:11" ht="24" customHeight="1" x14ac:dyDescent="0.4">
      <c r="B932" s="140"/>
      <c r="K932" s="125"/>
    </row>
    <row r="933" spans="2:11" ht="24" customHeight="1" x14ac:dyDescent="0.4">
      <c r="B933" s="140"/>
      <c r="K933" s="125"/>
    </row>
    <row r="934" spans="2:11" ht="24" customHeight="1" x14ac:dyDescent="0.4">
      <c r="B934" s="140"/>
      <c r="K934" s="125"/>
    </row>
    <row r="935" spans="2:11" ht="24" customHeight="1" x14ac:dyDescent="0.4">
      <c r="B935" s="140"/>
      <c r="K935" s="125"/>
    </row>
    <row r="936" spans="2:11" ht="24" customHeight="1" x14ac:dyDescent="0.4">
      <c r="B936" s="140"/>
      <c r="K936" s="125"/>
    </row>
    <row r="937" spans="2:11" ht="24" customHeight="1" x14ac:dyDescent="0.4">
      <c r="B937" s="140"/>
      <c r="K937" s="125"/>
    </row>
    <row r="938" spans="2:11" ht="24" customHeight="1" x14ac:dyDescent="0.4">
      <c r="B938" s="140"/>
      <c r="K938" s="125"/>
    </row>
    <row r="939" spans="2:11" ht="24" customHeight="1" x14ac:dyDescent="0.4">
      <c r="B939" s="140"/>
      <c r="K939" s="125"/>
    </row>
    <row r="940" spans="2:11" ht="24" customHeight="1" x14ac:dyDescent="0.4">
      <c r="B940" s="140"/>
      <c r="K940" s="125"/>
    </row>
    <row r="941" spans="2:11" ht="24" customHeight="1" x14ac:dyDescent="0.4">
      <c r="B941" s="140"/>
      <c r="K941" s="125"/>
    </row>
    <row r="942" spans="2:11" ht="24" customHeight="1" x14ac:dyDescent="0.4">
      <c r="B942" s="140"/>
      <c r="K942" s="125"/>
    </row>
    <row r="943" spans="2:11" ht="24" customHeight="1" x14ac:dyDescent="0.4">
      <c r="B943" s="140"/>
      <c r="K943" s="125"/>
    </row>
    <row r="944" spans="2:11" ht="24" customHeight="1" x14ac:dyDescent="0.4">
      <c r="B944" s="140"/>
      <c r="K944" s="125"/>
    </row>
    <row r="945" spans="2:11" ht="24" customHeight="1" x14ac:dyDescent="0.4">
      <c r="B945" s="140"/>
      <c r="K945" s="125"/>
    </row>
    <row r="946" spans="2:11" ht="24" customHeight="1" x14ac:dyDescent="0.4">
      <c r="B946" s="140"/>
      <c r="K946" s="125"/>
    </row>
    <row r="947" spans="2:11" ht="24" customHeight="1" x14ac:dyDescent="0.4">
      <c r="B947" s="140"/>
      <c r="K947" s="125"/>
    </row>
    <row r="948" spans="2:11" ht="24" customHeight="1" x14ac:dyDescent="0.4">
      <c r="B948" s="140"/>
      <c r="K948" s="125"/>
    </row>
    <row r="949" spans="2:11" ht="24" customHeight="1" x14ac:dyDescent="0.4">
      <c r="B949" s="140"/>
      <c r="K949" s="125"/>
    </row>
    <row r="950" spans="2:11" ht="24" customHeight="1" x14ac:dyDescent="0.4">
      <c r="B950" s="140"/>
      <c r="K950" s="125"/>
    </row>
    <row r="951" spans="2:11" ht="24" customHeight="1" x14ac:dyDescent="0.4">
      <c r="B951" s="140"/>
      <c r="K951" s="125"/>
    </row>
    <row r="952" spans="2:11" ht="24" customHeight="1" x14ac:dyDescent="0.4">
      <c r="B952" s="140"/>
      <c r="K952" s="125"/>
    </row>
    <row r="953" spans="2:11" ht="24" customHeight="1" x14ac:dyDescent="0.4">
      <c r="B953" s="140"/>
      <c r="K953" s="125"/>
    </row>
    <row r="954" spans="2:11" ht="24" customHeight="1" x14ac:dyDescent="0.4">
      <c r="B954" s="140"/>
      <c r="K954" s="125"/>
    </row>
    <row r="955" spans="2:11" ht="24" customHeight="1" x14ac:dyDescent="0.4">
      <c r="B955" s="140"/>
      <c r="K955" s="125"/>
    </row>
    <row r="956" spans="2:11" ht="24" customHeight="1" x14ac:dyDescent="0.4">
      <c r="B956" s="140"/>
      <c r="K956" s="125"/>
    </row>
    <row r="957" spans="2:11" ht="24" customHeight="1" x14ac:dyDescent="0.4">
      <c r="B957" s="140"/>
      <c r="K957" s="125"/>
    </row>
    <row r="958" spans="2:11" ht="24" customHeight="1" x14ac:dyDescent="0.4">
      <c r="B958" s="140"/>
      <c r="K958" s="125"/>
    </row>
    <row r="959" spans="2:11" ht="24" customHeight="1" x14ac:dyDescent="0.4">
      <c r="B959" s="140"/>
      <c r="K959" s="125"/>
    </row>
    <row r="960" spans="2:11" ht="24" customHeight="1" x14ac:dyDescent="0.4">
      <c r="B960" s="140"/>
      <c r="K960" s="125"/>
    </row>
    <row r="961" spans="2:11" ht="24" customHeight="1" x14ac:dyDescent="0.4">
      <c r="B961" s="140"/>
      <c r="K961" s="125"/>
    </row>
    <row r="962" spans="2:11" ht="24" customHeight="1" x14ac:dyDescent="0.4">
      <c r="B962" s="140"/>
      <c r="K962" s="125"/>
    </row>
    <row r="963" spans="2:11" ht="24" customHeight="1" x14ac:dyDescent="0.4">
      <c r="B963" s="140"/>
      <c r="K963" s="125"/>
    </row>
    <row r="964" spans="2:11" ht="24" customHeight="1" x14ac:dyDescent="0.4">
      <c r="B964" s="140"/>
      <c r="K964" s="125"/>
    </row>
    <row r="965" spans="2:11" ht="24" customHeight="1" x14ac:dyDescent="0.4">
      <c r="B965" s="140"/>
      <c r="K965" s="125"/>
    </row>
    <row r="966" spans="2:11" ht="24" customHeight="1" x14ac:dyDescent="0.4">
      <c r="B966" s="140"/>
      <c r="K966" s="125"/>
    </row>
    <row r="967" spans="2:11" ht="24" customHeight="1" x14ac:dyDescent="0.4">
      <c r="B967" s="140"/>
      <c r="K967" s="125"/>
    </row>
    <row r="968" spans="2:11" ht="24" customHeight="1" x14ac:dyDescent="0.4">
      <c r="B968" s="140"/>
      <c r="K968" s="125"/>
    </row>
    <row r="969" spans="2:11" ht="24" customHeight="1" x14ac:dyDescent="0.4">
      <c r="B969" s="140"/>
      <c r="K969" s="125"/>
    </row>
    <row r="970" spans="2:11" ht="24" customHeight="1" x14ac:dyDescent="0.4">
      <c r="B970" s="140"/>
      <c r="K970" s="125"/>
    </row>
    <row r="971" spans="2:11" ht="24" customHeight="1" x14ac:dyDescent="0.4">
      <c r="B971" s="140"/>
      <c r="K971" s="125"/>
    </row>
    <row r="972" spans="2:11" ht="24" customHeight="1" x14ac:dyDescent="0.4">
      <c r="B972" s="140"/>
      <c r="K972" s="125"/>
    </row>
    <row r="973" spans="2:11" ht="24" customHeight="1" x14ac:dyDescent="0.4">
      <c r="B973" s="140"/>
      <c r="K973" s="125"/>
    </row>
    <row r="974" spans="2:11" ht="24" customHeight="1" x14ac:dyDescent="0.4">
      <c r="B974" s="140"/>
      <c r="K974" s="125"/>
    </row>
    <row r="975" spans="2:11" ht="24" customHeight="1" x14ac:dyDescent="0.4">
      <c r="B975" s="140"/>
      <c r="K975" s="125"/>
    </row>
    <row r="976" spans="2:11" ht="24" customHeight="1" x14ac:dyDescent="0.4">
      <c r="B976" s="140"/>
      <c r="K976" s="125"/>
    </row>
    <row r="977" spans="2:11" ht="24" customHeight="1" x14ac:dyDescent="0.4">
      <c r="B977" s="140"/>
      <c r="K977" s="125"/>
    </row>
    <row r="978" spans="2:11" ht="24" customHeight="1" x14ac:dyDescent="0.4">
      <c r="B978" s="140"/>
      <c r="K978" s="125"/>
    </row>
    <row r="979" spans="2:11" ht="24" customHeight="1" x14ac:dyDescent="0.4">
      <c r="B979" s="140"/>
      <c r="K979" s="125"/>
    </row>
    <row r="980" spans="2:11" ht="24" customHeight="1" x14ac:dyDescent="0.4">
      <c r="B980" s="140"/>
      <c r="K980" s="125"/>
    </row>
    <row r="981" spans="2:11" ht="24" customHeight="1" x14ac:dyDescent="0.4">
      <c r="B981" s="140"/>
      <c r="K981" s="125"/>
    </row>
    <row r="982" spans="2:11" ht="24" customHeight="1" x14ac:dyDescent="0.4">
      <c r="B982" s="140"/>
      <c r="K982" s="125"/>
    </row>
    <row r="983" spans="2:11" ht="24" customHeight="1" x14ac:dyDescent="0.4">
      <c r="B983" s="140"/>
      <c r="K983" s="125"/>
    </row>
    <row r="984" spans="2:11" ht="24" customHeight="1" x14ac:dyDescent="0.4">
      <c r="B984" s="140"/>
      <c r="K984" s="125"/>
    </row>
    <row r="985" spans="2:11" ht="24" customHeight="1" x14ac:dyDescent="0.4">
      <c r="B985" s="140"/>
      <c r="K985" s="125"/>
    </row>
    <row r="986" spans="2:11" ht="24" customHeight="1" x14ac:dyDescent="0.4">
      <c r="B986" s="140"/>
      <c r="K986" s="125"/>
    </row>
    <row r="987" spans="2:11" ht="24" customHeight="1" x14ac:dyDescent="0.4">
      <c r="B987" s="140"/>
      <c r="K987" s="125"/>
    </row>
    <row r="988" spans="2:11" ht="24" customHeight="1" x14ac:dyDescent="0.4">
      <c r="B988" s="140"/>
      <c r="K988" s="125"/>
    </row>
    <row r="989" spans="2:11" ht="24" customHeight="1" x14ac:dyDescent="0.4">
      <c r="B989" s="140"/>
      <c r="K989" s="125"/>
    </row>
    <row r="990" spans="2:11" ht="24" customHeight="1" x14ac:dyDescent="0.4">
      <c r="B990" s="140"/>
      <c r="K990" s="125"/>
    </row>
    <row r="991" spans="2:11" ht="24" customHeight="1" x14ac:dyDescent="0.4">
      <c r="B991" s="140"/>
      <c r="K991" s="125"/>
    </row>
    <row r="992" spans="2:11" ht="24" customHeight="1" x14ac:dyDescent="0.4">
      <c r="B992" s="140"/>
      <c r="K992" s="125"/>
    </row>
    <row r="993" spans="2:11" ht="24" customHeight="1" x14ac:dyDescent="0.4">
      <c r="B993" s="140"/>
      <c r="K993" s="125"/>
    </row>
    <row r="994" spans="2:11" ht="24" customHeight="1" x14ac:dyDescent="0.4">
      <c r="B994" s="140"/>
      <c r="K994" s="125"/>
    </row>
    <row r="995" spans="2:11" ht="24" customHeight="1" x14ac:dyDescent="0.4">
      <c r="B995" s="140"/>
      <c r="K995" s="125"/>
    </row>
    <row r="996" spans="2:11" ht="24" customHeight="1" x14ac:dyDescent="0.4">
      <c r="B996" s="140"/>
      <c r="K996" s="125"/>
    </row>
    <row r="997" spans="2:11" ht="24" customHeight="1" x14ac:dyDescent="0.4">
      <c r="B997" s="140"/>
      <c r="K997" s="125"/>
    </row>
    <row r="998" spans="2:11" ht="24" customHeight="1" x14ac:dyDescent="0.4">
      <c r="B998" s="140"/>
      <c r="K998" s="125"/>
    </row>
    <row r="999" spans="2:11" ht="24" customHeight="1" x14ac:dyDescent="0.4">
      <c r="B999" s="140"/>
      <c r="K999" s="125"/>
    </row>
    <row r="1000" spans="2:11" ht="24" customHeight="1" x14ac:dyDescent="0.4">
      <c r="B1000" s="140"/>
      <c r="K1000" s="125"/>
    </row>
    <row r="1001" spans="2:11" ht="24" customHeight="1" x14ac:dyDescent="0.4">
      <c r="B1001" s="140"/>
      <c r="K1001" s="125"/>
    </row>
    <row r="1002" spans="2:11" ht="24" customHeight="1" x14ac:dyDescent="0.4">
      <c r="B1002" s="140"/>
      <c r="K1002" s="125"/>
    </row>
    <row r="1003" spans="2:11" ht="24" customHeight="1" x14ac:dyDescent="0.4">
      <c r="B1003" s="140"/>
      <c r="K1003" s="125"/>
    </row>
    <row r="1004" spans="2:11" ht="24" customHeight="1" x14ac:dyDescent="0.4">
      <c r="B1004" s="140"/>
      <c r="K1004" s="125"/>
    </row>
    <row r="1005" spans="2:11" ht="24" customHeight="1" x14ac:dyDescent="0.4">
      <c r="B1005" s="140"/>
      <c r="K1005" s="125"/>
    </row>
    <row r="1006" spans="2:11" ht="24" customHeight="1" x14ac:dyDescent="0.4">
      <c r="B1006" s="140"/>
      <c r="K1006" s="125"/>
    </row>
    <row r="1007" spans="2:11" ht="24" customHeight="1" x14ac:dyDescent="0.4">
      <c r="B1007" s="140"/>
      <c r="K1007" s="125"/>
    </row>
    <row r="1008" spans="2:11" ht="24" customHeight="1" x14ac:dyDescent="0.4">
      <c r="B1008" s="140"/>
      <c r="K1008" s="125"/>
    </row>
    <row r="1009" spans="2:11" ht="24" customHeight="1" x14ac:dyDescent="0.4">
      <c r="B1009" s="140"/>
      <c r="K1009" s="125"/>
    </row>
    <row r="1010" spans="2:11" ht="24" customHeight="1" x14ac:dyDescent="0.4">
      <c r="B1010" s="140"/>
      <c r="K1010" s="125"/>
    </row>
    <row r="1011" spans="2:11" ht="24" customHeight="1" x14ac:dyDescent="0.4">
      <c r="B1011" s="140"/>
      <c r="K1011" s="125"/>
    </row>
    <row r="1012" spans="2:11" ht="24" customHeight="1" x14ac:dyDescent="0.4">
      <c r="B1012" s="140"/>
      <c r="K1012" s="125"/>
    </row>
    <row r="1013" spans="2:11" ht="24" customHeight="1" x14ac:dyDescent="0.4">
      <c r="B1013" s="140"/>
      <c r="K1013" s="125"/>
    </row>
    <row r="1014" spans="2:11" ht="24" customHeight="1" x14ac:dyDescent="0.4">
      <c r="B1014" s="140"/>
      <c r="K1014" s="125"/>
    </row>
    <row r="1015" spans="2:11" ht="24" customHeight="1" x14ac:dyDescent="0.4">
      <c r="B1015" s="140"/>
      <c r="K1015" s="125"/>
    </row>
    <row r="1016" spans="2:11" ht="24" customHeight="1" x14ac:dyDescent="0.4">
      <c r="B1016" s="140"/>
      <c r="K1016" s="125"/>
    </row>
    <row r="1017" spans="2:11" ht="24" customHeight="1" x14ac:dyDescent="0.4">
      <c r="B1017" s="140"/>
      <c r="K1017" s="125"/>
    </row>
    <row r="1018" spans="2:11" ht="24" customHeight="1" x14ac:dyDescent="0.4">
      <c r="B1018" s="140"/>
      <c r="K1018" s="125"/>
    </row>
    <row r="1019" spans="2:11" ht="24" customHeight="1" x14ac:dyDescent="0.4">
      <c r="B1019" s="140"/>
      <c r="K1019" s="125"/>
    </row>
    <row r="1020" spans="2:11" ht="24" customHeight="1" x14ac:dyDescent="0.4">
      <c r="B1020" s="140"/>
      <c r="K1020" s="125"/>
    </row>
    <row r="1021" spans="2:11" ht="24" customHeight="1" x14ac:dyDescent="0.4">
      <c r="B1021" s="140"/>
      <c r="K1021" s="125"/>
    </row>
    <row r="1022" spans="2:11" ht="24" customHeight="1" x14ac:dyDescent="0.4">
      <c r="B1022" s="140"/>
      <c r="K1022" s="125"/>
    </row>
    <row r="1023" spans="2:11" ht="24" customHeight="1" x14ac:dyDescent="0.4">
      <c r="B1023" s="140"/>
      <c r="K1023" s="125"/>
    </row>
    <row r="1024" spans="2:11" ht="24" customHeight="1" x14ac:dyDescent="0.4">
      <c r="B1024" s="140"/>
      <c r="K1024" s="125"/>
    </row>
    <row r="1025" spans="2:11" ht="24" customHeight="1" x14ac:dyDescent="0.4">
      <c r="B1025" s="140"/>
      <c r="K1025" s="125"/>
    </row>
    <row r="1026" spans="2:11" ht="24" customHeight="1" x14ac:dyDescent="0.4">
      <c r="B1026" s="140"/>
      <c r="K1026" s="125"/>
    </row>
    <row r="1027" spans="2:11" ht="24" customHeight="1" x14ac:dyDescent="0.4">
      <c r="B1027" s="140"/>
      <c r="K1027" s="125"/>
    </row>
    <row r="1028" spans="2:11" ht="24" customHeight="1" x14ac:dyDescent="0.4">
      <c r="B1028" s="140"/>
      <c r="K1028" s="125"/>
    </row>
    <row r="1029" spans="2:11" ht="24" customHeight="1" x14ac:dyDescent="0.4">
      <c r="B1029" s="140"/>
      <c r="K1029" s="125"/>
    </row>
    <row r="1030" spans="2:11" ht="24" customHeight="1" x14ac:dyDescent="0.4">
      <c r="B1030" s="140"/>
      <c r="K1030" s="125"/>
    </row>
    <row r="1031" spans="2:11" ht="24" customHeight="1" x14ac:dyDescent="0.4">
      <c r="B1031" s="140"/>
      <c r="K1031" s="125"/>
    </row>
    <row r="1032" spans="2:11" ht="24" customHeight="1" x14ac:dyDescent="0.4">
      <c r="B1032" s="140"/>
      <c r="K1032" s="125"/>
    </row>
    <row r="1033" spans="2:11" ht="24" customHeight="1" x14ac:dyDescent="0.4">
      <c r="B1033" s="140"/>
      <c r="K1033" s="125"/>
    </row>
    <row r="1034" spans="2:11" ht="24" customHeight="1" x14ac:dyDescent="0.4">
      <c r="B1034" s="140"/>
      <c r="K1034" s="125"/>
    </row>
    <row r="1035" spans="2:11" ht="24" customHeight="1" x14ac:dyDescent="0.4">
      <c r="B1035" s="140"/>
      <c r="K1035" s="125"/>
    </row>
    <row r="1036" spans="2:11" ht="24" customHeight="1" x14ac:dyDescent="0.4">
      <c r="B1036" s="140"/>
      <c r="K1036" s="125"/>
    </row>
    <row r="1037" spans="2:11" ht="24" customHeight="1" x14ac:dyDescent="0.4">
      <c r="B1037" s="140"/>
      <c r="K1037" s="125"/>
    </row>
    <row r="1038" spans="2:11" ht="24" customHeight="1" x14ac:dyDescent="0.4">
      <c r="B1038" s="140"/>
      <c r="K1038" s="125"/>
    </row>
    <row r="1039" spans="2:11" ht="24" customHeight="1" x14ac:dyDescent="0.4">
      <c r="B1039" s="140"/>
      <c r="K1039" s="125"/>
    </row>
    <row r="1040" spans="2:11" ht="24" customHeight="1" x14ac:dyDescent="0.4">
      <c r="B1040" s="140"/>
      <c r="K1040" s="125"/>
    </row>
    <row r="1041" spans="2:11" ht="24" customHeight="1" x14ac:dyDescent="0.4">
      <c r="B1041" s="140"/>
      <c r="K1041" s="125"/>
    </row>
    <row r="1042" spans="2:11" ht="24" customHeight="1" x14ac:dyDescent="0.4">
      <c r="B1042" s="140"/>
      <c r="K1042" s="125"/>
    </row>
    <row r="1043" spans="2:11" ht="24" customHeight="1" x14ac:dyDescent="0.4">
      <c r="B1043" s="140"/>
      <c r="K1043" s="125"/>
    </row>
    <row r="1044" spans="2:11" ht="24" customHeight="1" x14ac:dyDescent="0.4">
      <c r="B1044" s="140"/>
      <c r="K1044" s="125"/>
    </row>
    <row r="1045" spans="2:11" ht="24" customHeight="1" x14ac:dyDescent="0.4">
      <c r="B1045" s="140"/>
      <c r="K1045" s="125"/>
    </row>
    <row r="1046" spans="2:11" ht="24" customHeight="1" x14ac:dyDescent="0.4">
      <c r="B1046" s="140"/>
      <c r="K1046" s="125"/>
    </row>
    <row r="1047" spans="2:11" ht="24" customHeight="1" x14ac:dyDescent="0.4">
      <c r="B1047" s="140"/>
      <c r="K1047" s="125"/>
    </row>
    <row r="1048" spans="2:11" ht="24" customHeight="1" x14ac:dyDescent="0.4">
      <c r="B1048" s="140"/>
      <c r="K1048" s="125"/>
    </row>
    <row r="1049" spans="2:11" ht="24" customHeight="1" x14ac:dyDescent="0.4">
      <c r="B1049" s="140"/>
      <c r="K1049" s="125"/>
    </row>
  </sheetData>
  <autoFilter ref="A2:M104" xr:uid="{5D0EA7BE-1A62-477A-AAC8-3EB8CDADE0BF}">
    <sortState xmlns:xlrd2="http://schemas.microsoft.com/office/spreadsheetml/2017/richdata2" ref="A3:M110">
      <sortCondition descending="1" ref="L2:L104"/>
    </sortState>
  </autoFilter>
  <mergeCells count="1">
    <mergeCell ref="A1:C1"/>
  </mergeCells>
  <phoneticPr fontId="1" type="noConversion"/>
  <conditionalFormatting sqref="A3:XFD1049">
    <cfRule type="expression" dxfId="2" priority="2">
      <formula>MOD(ROW(),2)=0</formula>
    </cfRule>
  </conditionalFormatting>
  <conditionalFormatting sqref="C3:C1049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142</v>
      </c>
      <c r="C1" s="161" t="s">
        <v>143</v>
      </c>
      <c r="D1" s="161"/>
      <c r="E1" s="161"/>
      <c r="F1" s="161"/>
      <c r="G1" s="161"/>
      <c r="H1" s="161"/>
      <c r="I1" s="161"/>
      <c r="J1" s="161"/>
    </row>
    <row r="2" spans="2:10" ht="24" customHeight="1" x14ac:dyDescent="0.4">
      <c r="B2" s="92"/>
      <c r="C2" s="93" t="s">
        <v>134</v>
      </c>
      <c r="D2" s="93" t="s">
        <v>119</v>
      </c>
      <c r="E2" s="93" t="s">
        <v>135</v>
      </c>
      <c r="F2" s="93" t="s">
        <v>136</v>
      </c>
      <c r="G2" s="93" t="s">
        <v>137</v>
      </c>
      <c r="H2" s="93" t="s">
        <v>138</v>
      </c>
      <c r="I2" s="93" t="s">
        <v>139</v>
      </c>
      <c r="J2" s="93" t="s">
        <v>140</v>
      </c>
    </row>
    <row r="3" spans="2:10" ht="24" customHeight="1" x14ac:dyDescent="0.4">
      <c r="B3" s="96" t="s">
        <v>133</v>
      </c>
      <c r="C3" s="71">
        <v>-16.3</v>
      </c>
      <c r="D3" s="80">
        <v>-35.6</v>
      </c>
      <c r="E3" s="81">
        <v>-27</v>
      </c>
      <c r="F3" s="80">
        <v>-25.2</v>
      </c>
      <c r="G3" s="71">
        <v>-14.4</v>
      </c>
      <c r="H3" s="81">
        <v>7.8</v>
      </c>
      <c r="I3" s="80">
        <v>-47.8</v>
      </c>
      <c r="J3" s="71">
        <v>2.9</v>
      </c>
    </row>
    <row r="4" spans="2:10" ht="24" customHeight="1" x14ac:dyDescent="0.4">
      <c r="B4" s="97" t="s">
        <v>132</v>
      </c>
      <c r="C4" s="71">
        <v>-17.3</v>
      </c>
      <c r="D4" s="80">
        <v>-29.4</v>
      </c>
      <c r="E4" s="81">
        <v>-27.5</v>
      </c>
      <c r="F4" s="80">
        <v>-19.7</v>
      </c>
      <c r="G4" s="71">
        <v>-14.6</v>
      </c>
      <c r="H4" s="81">
        <v>4.2</v>
      </c>
      <c r="I4" s="80">
        <v>-41.4</v>
      </c>
      <c r="J4" s="71">
        <v>5.2</v>
      </c>
    </row>
    <row r="6" spans="2:10" ht="24" customHeight="1" x14ac:dyDescent="0.4">
      <c r="B6" s="94" t="s">
        <v>141</v>
      </c>
      <c r="C6" s="96" t="s">
        <v>133</v>
      </c>
      <c r="D6" s="97" t="s">
        <v>132</v>
      </c>
    </row>
    <row r="7" spans="2:10" ht="24" customHeight="1" x14ac:dyDescent="0.4">
      <c r="C7" s="92" cm="1">
        <f t="array" ref="C7:C14">TRANSPOSE(C3:J3)</f>
        <v>-16.3</v>
      </c>
      <c r="D7" s="92" cm="1">
        <f t="array" ref="D7:D14">TRANSPOSE(C4:J4)</f>
        <v>-17.3</v>
      </c>
    </row>
    <row r="8" spans="2:10" ht="24" customHeight="1" x14ac:dyDescent="0.4">
      <c r="C8" s="92">
        <v>-35.6</v>
      </c>
      <c r="D8" s="92">
        <v>-29.4</v>
      </c>
    </row>
    <row r="9" spans="2:10" ht="24" customHeight="1" x14ac:dyDescent="0.4">
      <c r="C9" s="92">
        <v>-27</v>
      </c>
      <c r="D9" s="92">
        <v>-27.5</v>
      </c>
    </row>
    <row r="10" spans="2:10" ht="24" customHeight="1" x14ac:dyDescent="0.4">
      <c r="C10" s="92">
        <v>-25.2</v>
      </c>
      <c r="D10" s="92">
        <v>-19.7</v>
      </c>
    </row>
    <row r="11" spans="2:10" ht="24" customHeight="1" x14ac:dyDescent="0.4">
      <c r="C11" s="92">
        <v>-14.4</v>
      </c>
      <c r="D11" s="92">
        <v>-14.6</v>
      </c>
    </row>
    <row r="12" spans="2:10" ht="24" customHeight="1" x14ac:dyDescent="0.4">
      <c r="C12" s="92">
        <v>7.8</v>
      </c>
      <c r="D12" s="92">
        <v>4.2</v>
      </c>
    </row>
    <row r="13" spans="2:10" ht="24" customHeight="1" x14ac:dyDescent="0.4">
      <c r="C13" s="92">
        <v>-47.8</v>
      </c>
      <c r="D13" s="92">
        <v>-41.4</v>
      </c>
    </row>
    <row r="14" spans="2:10" ht="24" customHeight="1" x14ac:dyDescent="0.4">
      <c r="C14" s="92">
        <v>2.9</v>
      </c>
      <c r="D14" s="92">
        <v>5.2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2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2"/>
      <c r="B2" s="163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2"/>
      <c r="B3" s="164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2026-09-10T17:19:21Z</dcterms:modified>
</cp:coreProperties>
</file>