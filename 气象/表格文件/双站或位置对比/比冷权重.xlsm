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E63619A3-CF23-43D7-9602-ACD23B935783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0" i="3" l="1"/>
  <c r="B80" i="3" s="1"/>
  <c r="D7" i="4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83" i="3" l="1"/>
  <c r="B83" i="3" s="1"/>
  <c r="M49" i="3"/>
  <c r="B49" i="3" s="1"/>
  <c r="M56" i="3"/>
  <c r="B56" i="3" s="1"/>
  <c r="M121" i="3"/>
  <c r="B121" i="3" s="1"/>
  <c r="M120" i="3"/>
  <c r="B120" i="3" s="1"/>
  <c r="M105" i="3"/>
  <c r="B105" i="3" s="1"/>
  <c r="M106" i="3"/>
  <c r="B106" i="3" s="1"/>
  <c r="M109" i="3"/>
  <c r="B109" i="3" s="1"/>
  <c r="M63" i="3"/>
  <c r="B63" i="3" s="1"/>
  <c r="M92" i="3"/>
  <c r="B92" i="3" s="1"/>
  <c r="M53" i="3"/>
  <c r="B53" i="3" s="1"/>
  <c r="M51" i="3"/>
  <c r="B51" i="3" s="1"/>
  <c r="M70" i="3"/>
  <c r="B70" i="3" s="1"/>
  <c r="M54" i="3"/>
  <c r="B54" i="3" s="1"/>
  <c r="M79" i="3"/>
  <c r="B79" i="3" s="1"/>
  <c r="M74" i="3"/>
  <c r="B74" i="3" s="1"/>
  <c r="M58" i="3"/>
  <c r="B58" i="3" s="1"/>
  <c r="M134" i="3"/>
  <c r="B134" i="3" s="1"/>
  <c r="M135" i="3"/>
  <c r="B135" i="3" s="1"/>
  <c r="M137" i="3"/>
  <c r="B137" i="3" s="1"/>
  <c r="M136" i="3"/>
  <c r="B136" i="3" s="1"/>
  <c r="M103" i="3"/>
  <c r="B103" i="3" s="1"/>
  <c r="M72" i="3"/>
  <c r="B72" i="3" s="1"/>
  <c r="M68" i="3"/>
  <c r="B68" i="3" s="1"/>
  <c r="M43" i="3"/>
  <c r="B43" i="3" s="1"/>
  <c r="M46" i="3"/>
  <c r="B46" i="3" s="1"/>
  <c r="M124" i="3"/>
  <c r="B124" i="3" s="1"/>
  <c r="M116" i="3"/>
  <c r="B116" i="3" s="1"/>
  <c r="M84" i="3"/>
  <c r="B84" i="3" s="1"/>
  <c r="M73" i="3"/>
  <c r="B73" i="3" s="1"/>
  <c r="M3" i="3"/>
  <c r="B3" i="3" s="1"/>
  <c r="M4" i="3"/>
  <c r="B4" i="3" s="1"/>
  <c r="M59" i="3"/>
  <c r="B59" i="3" s="1"/>
  <c r="M131" i="3"/>
  <c r="B131" i="3" s="1"/>
  <c r="M97" i="3"/>
  <c r="B97" i="3" s="1"/>
  <c r="M129" i="3"/>
  <c r="B129" i="3" s="1"/>
  <c r="M128" i="3"/>
  <c r="B128" i="3" s="1"/>
  <c r="M55" i="3"/>
  <c r="B55" i="3" s="1"/>
  <c r="M102" i="3"/>
  <c r="B102" i="3" s="1"/>
  <c r="M47" i="3"/>
  <c r="B47" i="3" s="1"/>
  <c r="M110" i="3"/>
  <c r="B110" i="3" s="1"/>
  <c r="M101" i="3"/>
  <c r="B101" i="3" s="1"/>
  <c r="M93" i="3"/>
  <c r="B93" i="3" s="1"/>
  <c r="M90" i="3"/>
  <c r="B90" i="3" s="1"/>
  <c r="M132" i="3"/>
  <c r="B132" i="3" s="1"/>
  <c r="M126" i="3"/>
  <c r="B126" i="3" s="1"/>
  <c r="M85" i="3"/>
  <c r="B85" i="3" s="1"/>
  <c r="M114" i="3"/>
  <c r="B114" i="3" s="1"/>
  <c r="M86" i="3"/>
  <c r="B86" i="3" s="1"/>
  <c r="M107" i="3"/>
  <c r="B107" i="3" s="1"/>
  <c r="M40" i="3"/>
  <c r="B40" i="3" s="1"/>
  <c r="M35" i="3"/>
  <c r="B35" i="3" s="1"/>
  <c r="M104" i="3"/>
  <c r="B104" i="3" s="1"/>
  <c r="M41" i="3"/>
  <c r="B41" i="3" s="1"/>
  <c r="M119" i="3"/>
  <c r="B119" i="3" s="1"/>
  <c r="M122" i="3"/>
  <c r="B122" i="3" s="1"/>
  <c r="M123" i="3"/>
  <c r="B123" i="3" s="1"/>
  <c r="M125" i="3"/>
  <c r="B125" i="3" s="1"/>
  <c r="M127" i="3"/>
  <c r="B127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9" i="3"/>
  <c r="B99" i="3" s="1"/>
  <c r="M94" i="3"/>
  <c r="B94" i="3" s="1"/>
  <c r="M95" i="3"/>
  <c r="B95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5" i="3"/>
  <c r="B115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17" i="3"/>
  <c r="B117" i="3" s="1"/>
  <c r="M91" i="3"/>
  <c r="B91" i="3" s="1"/>
  <c r="M36" i="3"/>
  <c r="B36" i="3" s="1"/>
  <c r="M96" i="3"/>
  <c r="B96" i="3" s="1"/>
  <c r="M38" i="3"/>
  <c r="B38" i="3" s="1"/>
  <c r="M87" i="3"/>
  <c r="B87" i="3" s="1"/>
  <c r="M34" i="3"/>
  <c r="B34" i="3" s="1"/>
  <c r="M5" i="3"/>
  <c r="B5" i="3" s="1"/>
  <c r="M88" i="3"/>
  <c r="B88" i="3" s="1"/>
  <c r="M32" i="3"/>
  <c r="B32" i="3" s="1"/>
  <c r="M75" i="3"/>
  <c r="B75" i="3" s="1"/>
  <c r="M76" i="3"/>
  <c r="B76" i="3" s="1"/>
  <c r="M62" i="3"/>
  <c r="B62" i="3" s="1"/>
  <c r="M113" i="3"/>
  <c r="B113" i="3" s="1"/>
  <c r="M98" i="3"/>
  <c r="B98" i="3" s="1"/>
  <c r="M60" i="3"/>
  <c r="B60" i="3" s="1"/>
  <c r="M100" i="3"/>
  <c r="B100" i="3" s="1"/>
  <c r="M6" i="3"/>
  <c r="B6" i="3" s="1"/>
  <c r="M89" i="3"/>
  <c r="B89" i="3" s="1"/>
  <c r="M26" i="3"/>
  <c r="B26" i="3" s="1"/>
  <c r="M78" i="3"/>
  <c r="B78" i="3" s="1"/>
  <c r="M118" i="3"/>
  <c r="B118" i="3" s="1"/>
  <c r="M108" i="3"/>
  <c r="B108" i="3" s="1"/>
  <c r="M66" i="3"/>
  <c r="B66" i="3" s="1"/>
  <c r="M133" i="3"/>
  <c r="B133" i="3" s="1"/>
  <c r="M77" i="3"/>
  <c r="B77" i="3" s="1"/>
  <c r="M130" i="3"/>
  <c r="B130" i="3" s="1"/>
  <c r="M82" i="3"/>
  <c r="B82" i="3" s="1"/>
  <c r="M112" i="3"/>
  <c r="B112" i="3" s="1"/>
  <c r="M81" i="3"/>
  <c r="B81" i="3" s="1"/>
  <c r="M111" i="3"/>
  <c r="B111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<sst xmlns="http://schemas.openxmlformats.org/spreadsheetml/2006/main" count="347" uniqueCount="241">
  <si>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</si>
  <si>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</si>
  <si>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</si>
  <si>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</si>
  <si>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</si>
  <si>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</si>
  <si>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</si>
  <si>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</si>
  <si>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</si>
  <si>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</si>
  <si>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</si>
  <si>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</si>
  <si>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</si>
  <si>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</si>
  <si>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</si>
  <si>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</si>
  <si>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</si>
  <si>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</si>
  <si>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</si>
  <si>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</si>
  <si>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</si>
  <si>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</si>
  <si>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</si>
  <si>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</si>
  <si>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</si>
  <si>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</si>
  <si>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</si>
  <si>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</si>
  <si>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</si>
  <si>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</si>
  <si>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</si>
  <si>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</si>
  <si>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</si>
  <si>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</si>
  <si>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</si>
  <si>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</si>
  <si>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</si>
  <si>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</si>
  <si>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</si>
  <si>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</si>
  <si>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</si>
  <si>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</si>
  <si>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</si>
  <si>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</si>
  <si>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</si>
  <si>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</si>
  <si>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</si>
  <si>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</si>
  <si>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</si>
  <si>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</si>
  <si>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</si>
  <si>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</si>
  <si>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</si>
  <si>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</si>
  <si>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</si>
  <si>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</si>
  <si>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</si>
  <si>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</si>
  <si>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</si>
  <si>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</si>
  <si>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</si>
  <si>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</si>
  <si>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</si>
  <si>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</si>
  <si>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</si>
  <si>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</si>
  <si>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</si>
  <si>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</si>
  <si>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</si>
  <si>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</si>
  <si>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</si>
  <si>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</si>
  <si>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</si>
  <si>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</si>
  <si>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</si>
  <si>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</si>
  <si>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</si>
  <si>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</si>
  <si>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</si>
  <si>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</si>
  <si>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</si>
  <si>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</si>
  <si>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</si>
  <si>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</si>
  <si>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</si>
  <si>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</si>
  <si>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</si>
  <si>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</si>
  <si>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</si>
  <si>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</si>
  <si>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</si>
  <si>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</si>
  <si>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</si>
  <si>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</si>
  <si>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</si>
  <si>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</si>
  <si>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</si>
  <si>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</si>
  <si>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</si>
  <si>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</si>
  <si>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</si>
  <si>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</si>
  <si>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</si>
  <si>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</si>
  <si>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</si>
  <si>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</si>
  <si>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</si>
  <si>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</si>
  <si>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</si>
  <si>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</si>
  <si>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</si>
  <si>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</si>
  <si>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</si>
  <si>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</si>
  <si>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</si>
  <si>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</si>
  <si>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</si>
  <si>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</si>
  <si>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</si>
  <si>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</si>
  <si>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</si>
  <si>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</si>
  <si>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</si>
  <si>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</si>
  <si>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</si>
  <si>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</si>
  <si>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</si>
  <si>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</si>
  <si>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</si>
  <si>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</si>
  <si>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</si>
  <si>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</si>
  <si>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</si>
  <si>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</si>
  <si>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</si>
  <si>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</si>
  <si>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</si>
  <si>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</si>
  <si>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</si>
  <si>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</si>
  <si>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</si>
  <si>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</si>
  <si>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</si>
  <si>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</si>
  <si>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</si>
  <si>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</si>
  <si>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</si>
  <si>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</si>
  <si>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</si>
  <si>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</si>
  <si>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</si>
  <si>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</si>
  <si>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</si>
  <si>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</si>
  <si>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</si>
  <si>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</si>
  <si>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</si>
  <si>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</si>
  <si>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</si>
  <si>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</si>
  <si>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</si>
  <si>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</si>
  <si>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</si>
  <si>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</si>
  <si>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</si>
  <si>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</si>
  <si>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</si>
  <si>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</si>
  <si>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</si>
  <si>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</si>
  <si>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</si>
  <si>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</si>
  <si>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</si>
  <si>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</si>
  <si>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</si>
  <si>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</si>
  <si>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</si>
  <si>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</si>
  <si>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</si>
  <si>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</si>
  <si>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</si>
  <si>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</si>
  <si>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</si>
  <si>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</si>
  <si>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</si>
  <si>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</si>
  <si>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</si>
  <si>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</si>
  <si>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</si>
  <si>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</si>
  <si>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</si>
  <si>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</si>
  <si>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</si>
  <si>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</si>
  <si>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</si>
  <si>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</si>
  <si>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</si>
  <si>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</si>
  <si>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</si>
  <si>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</si>
  <si>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</si>
  <si>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</si>
  <si>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</si>
  <si>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</si>
  <si>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</si>
  <si>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</si>
  <si>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</si>
  <si>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</si>
  <si>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</si>
  <si>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</si>
  <si>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</si>
  <si>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</si>
  <si>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</si>
  <si>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</si>
  <si>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</si>
  <si>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</si>
  <si>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</si>
  <si>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</si>
  <si>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</si>
  <si>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</si>
  <si>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</si>
  <si>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</si>
  <si>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</si>
  <si>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</si>
  <si>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</si>
  <si>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</si>
  <si>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</si>
  <si>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</si>
  <si>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</si>
  <si>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</si>
  <si>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</si>
  <si>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</si>
  <si>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</si>
  <si>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</si>
  <si>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</si>
  <si>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</si>
  <si>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</si>
  <si>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</si>
  <si>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</si>
  <si>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</si>
  <si>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2007~2025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</si>
</sst>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50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31.556000000000001</v>
      </c>
      <c r="G1" s="35">
        <f xml:space="preserve"> $B5*(-G5) + $B6*(-G6) + $B7*(-G7) + $B8*(-G8) + $B9*(-G9) + $B10*(-G10) + $B11*(-G11) + $B12*(-G12)</f>
        <v>32.658999999999999</v>
      </c>
      <c r="H1" s="27">
        <f>SUM(H5:H12)</f>
        <v>1</v>
      </c>
      <c r="I1" s="37" t="s">
        <v>22</v>
      </c>
      <c r="J1" s="36">
        <f>ABS(F1-G1)</f>
        <v>1.102999999999998</v>
      </c>
    </row>
    <row r="2" spans="1:10" ht="24" customHeight="1" x14ac:dyDescent="0.4">
      <c r="A2" s="153" t="s">
        <v>5</v>
      </c>
      <c r="B2" s="154"/>
      <c r="C2" s="155"/>
      <c r="D2" s="25"/>
      <c r="E2" s="163" t="s">
        <v>240</v>
      </c>
      <c r="F2" s="159" t="s">
        <v>16</v>
      </c>
      <c r="G2" s="159"/>
      <c r="H2" s="160"/>
    </row>
    <row r="3" spans="1:10" ht="24" customHeight="1" thickBot="1" x14ac:dyDescent="0.45">
      <c r="A3" s="156"/>
      <c r="B3" s="157"/>
      <c r="C3" s="158"/>
      <c r="D3" s="25"/>
      <c r="E3" s="164"/>
      <c r="F3" s="161"/>
      <c r="G3" s="161"/>
      <c r="H3" s="162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33</v>
      </c>
      <c r="G4" s="46" t="s">
        <v>203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-27.8</v>
      </c>
      <c r="G5" s="32">
        <v>-28.3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-43.7</v>
      </c>
      <c r="G6" s="33">
        <v>-46.2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-35.299999999999997</v>
      </c>
      <c r="G7" s="32">
        <v>-36.9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-28.2</v>
      </c>
      <c r="G8" s="33">
        <v>-31.8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-25.8</v>
      </c>
      <c r="G9" s="32">
        <v>-26.2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-4.5999999999999996</v>
      </c>
      <c r="G10" s="33">
        <v>2.6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-54.7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-3.1</v>
      </c>
      <c r="G12" s="34">
        <v>-4.9000000000000004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1.1°C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9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6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48"/>
      <c r="B1" s="165" t="s">
        <v>210</v>
      </c>
      <c r="C1" s="166"/>
      <c r="D1" s="167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5" t="s">
        <v>219</v>
      </c>
      <c r="B2" s="144" t="s">
        <v>209</v>
      </c>
      <c r="C2" s="127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211</v>
      </c>
      <c r="N2" s="135" t="s">
        <v>185</v>
      </c>
    </row>
    <row r="3" spans="1:15" ht="24" customHeight="1" thickTop="1" x14ac:dyDescent="0.4">
      <c r="A3" s="150"/>
      <c r="B3" s="126">
        <f>M3</f>
        <v>72.304000000000002</v>
      </c>
      <c r="C3" s="141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-34.9</v>
      </c>
      <c r="K3" s="107">
        <v>-89.2</v>
      </c>
      <c r="L3" s="121">
        <v>-55.2</v>
      </c>
      <c r="M3" s="117">
        <f xml:space="preserve"> E$1 * (-E3) + F$1 * (-F3) + G$1 * (-G3) + H$1 * (-H3) + I$1 * (-I3) + J$1 * (-J3) + K$1 * (-K3) + L$1 * (-L3)</f>
        <v>72.304000000000002</v>
      </c>
      <c r="N3" s="115" t="s">
        <v>188</v>
      </c>
      <c r="O3" s="143"/>
    </row>
    <row r="4" spans="1:15" ht="24" customHeight="1" x14ac:dyDescent="0.4">
      <c r="A4" s="149" t="s">
        <v>222</v>
      </c>
      <c r="B4" s="145">
        <f>M4</f>
        <v>71.208999999999989</v>
      </c>
      <c r="C4" s="128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2">
        <v>-54.7</v>
      </c>
      <c r="M4" s="118">
        <f xml:space="preserve"> E$1 * (-E4) + F$1 * (-F4) + G$1 * (-G4) + H$1 * (-H4) + I$1 * (-I4) + J$1 * (-J4) + K$1 * (-K4) + L$1 * (-L4)</f>
        <v>71.208999999999989</v>
      </c>
      <c r="N4" s="113"/>
      <c r="O4" s="143"/>
    </row>
    <row r="5" spans="1:15" ht="24" customHeight="1" x14ac:dyDescent="0.4">
      <c r="A5" s="149"/>
      <c r="B5" s="145">
        <f>M5</f>
        <v>50.216000000000001</v>
      </c>
      <c r="C5" s="128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xml:space="preserve"> E$1 * (-E5) + F$1 * (-F5) + G$1 * (-G5) + H$1 * (-H5) + I$1 * (-I5) + J$1 * (-J5) + K$1 * (-K5) + L$1 * (-L5)</f>
        <v>50.216000000000001</v>
      </c>
      <c r="N5" s="113"/>
      <c r="O5" s="143"/>
    </row>
    <row r="6" spans="1:15" ht="24" customHeight="1" x14ac:dyDescent="0.4">
      <c r="A6" s="149"/>
      <c r="B6" s="145">
        <f>M6</f>
        <v>49.571000000000005</v>
      </c>
      <c r="C6" s="128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xml:space="preserve"> E$1 * (-E6) + F$1 * (-F6) + G$1 * (-G6) + H$1 * (-H6) + I$1 * (-I6) + J$1 * (-J6) + K$1 * (-K6) + L$1 * (-L6)</f>
        <v>49.571000000000005</v>
      </c>
      <c r="N6" s="113"/>
      <c r="O6" s="143"/>
    </row>
    <row r="7" spans="1:15" ht="24" customHeight="1" x14ac:dyDescent="0.4">
      <c r="A7" s="149"/>
      <c r="B7" s="145">
        <f>M7</f>
        <v>49.416999999999994</v>
      </c>
      <c r="C7" s="128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xml:space="preserve"> E$1 * (-E7) + F$1 * (-F7) + G$1 * (-G7) + H$1 * (-H7) + I$1 * (-I7) + J$1 * (-J7) + K$1 * (-K7) + L$1 * (-L7)</f>
        <v>49.416999999999994</v>
      </c>
      <c r="N7" s="113"/>
      <c r="O7" s="143"/>
    </row>
    <row r="8" spans="1:15" ht="24" customHeight="1" x14ac:dyDescent="0.4">
      <c r="A8" s="149" t="s">
        <v>222</v>
      </c>
      <c r="B8" s="145">
        <f>M8</f>
        <v>48.379999999999995</v>
      </c>
      <c r="C8" s="129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xml:space="preserve"> E$1 * (-E8) + F$1 * (-F8) + G$1 * (-G8) + H$1 * (-H8) + I$1 * (-I8) + J$1 * (-J8) + K$1 * (-K8) + L$1 * (-L8)</f>
        <v>48.379999999999995</v>
      </c>
      <c r="N8" s="113"/>
      <c r="O8" s="143"/>
    </row>
    <row r="9" spans="1:15" ht="24" customHeight="1" x14ac:dyDescent="0.4">
      <c r="A9" s="149"/>
      <c r="B9" s="145">
        <f>M9</f>
        <v>48.288000000000004</v>
      </c>
      <c r="C9" s="128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xml:space="preserve"> E$1 * (-E9) + F$1 * (-F9) + G$1 * (-G9) + H$1 * (-H9) + I$1 * (-I9) + J$1 * (-J9) + K$1 * (-K9) + L$1 * (-L9)</f>
        <v>48.288000000000004</v>
      </c>
      <c r="N9" s="113"/>
      <c r="O9" s="143"/>
    </row>
    <row r="10" spans="1:15" ht="24" customHeight="1" x14ac:dyDescent="0.4">
      <c r="A10" s="149" t="s">
        <v>222</v>
      </c>
      <c r="B10" s="145">
        <f>M10</f>
        <v>48.267000000000003</v>
      </c>
      <c r="C10" s="128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xml:space="preserve"> E$1 * (-E10) + F$1 * (-F10) + G$1 * (-G10) + H$1 * (-H10) + I$1 * (-I10) + J$1 * (-J10) + K$1 * (-K10) + L$1 * (-L10)</f>
        <v>48.267000000000003</v>
      </c>
      <c r="N10" s="113"/>
      <c r="O10" s="143"/>
    </row>
    <row r="11" spans="1:15" ht="24" customHeight="1" x14ac:dyDescent="0.4">
      <c r="A11" s="149"/>
      <c r="B11" s="145">
        <f>M11</f>
        <v>48.23</v>
      </c>
      <c r="C11" s="128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xml:space="preserve"> E$1 * (-E11) + F$1 * (-F11) + G$1 * (-G11) + H$1 * (-H11) + I$1 * (-I11) + J$1 * (-J11) + K$1 * (-K11) + L$1 * (-L11)</f>
        <v>48.23</v>
      </c>
      <c r="N11" s="113"/>
      <c r="O11" s="143"/>
    </row>
    <row r="12" spans="1:15" ht="24" customHeight="1" x14ac:dyDescent="0.4">
      <c r="A12" s="149"/>
      <c r="B12" s="145">
        <f>M12</f>
        <v>47.696999999999989</v>
      </c>
      <c r="C12" s="128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xml:space="preserve"> E$1 * (-E12) + F$1 * (-F12) + G$1 * (-G12) + H$1 * (-H12) + I$1 * (-I12) + J$1 * (-J12) + K$1 * (-K12) + L$1 * (-L12)</f>
        <v>47.696999999999989</v>
      </c>
      <c r="N12" s="113"/>
      <c r="O12" s="143"/>
    </row>
    <row r="13" spans="1:15" ht="24" customHeight="1" x14ac:dyDescent="0.4">
      <c r="A13" s="149"/>
      <c r="B13" s="145">
        <f>M13</f>
        <v>46.588000000000001</v>
      </c>
      <c r="C13" s="128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xml:space="preserve"> E$1 * (-E13) + F$1 * (-F13) + G$1 * (-G13) + H$1 * (-H13) + I$1 * (-I13) + J$1 * (-J13) + K$1 * (-K13) + L$1 * (-L13)</f>
        <v>46.588000000000001</v>
      </c>
      <c r="N13" s="113"/>
      <c r="O13" s="143"/>
    </row>
    <row r="14" spans="1:15" ht="24" customHeight="1" x14ac:dyDescent="0.4">
      <c r="A14" s="149"/>
      <c r="B14" s="145">
        <f>M14</f>
        <v>46.44</v>
      </c>
      <c r="C14" s="128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xml:space="preserve"> E$1 * (-E14) + F$1 * (-F14) + G$1 * (-G14) + H$1 * (-H14) + I$1 * (-I14) + J$1 * (-J14) + K$1 * (-K14) + L$1 * (-L14)</f>
        <v>46.44</v>
      </c>
      <c r="N14" s="113"/>
      <c r="O14" s="143"/>
    </row>
    <row r="15" spans="1:15" ht="24" customHeight="1" x14ac:dyDescent="0.4">
      <c r="A15" s="149"/>
      <c r="B15" s="145">
        <f>M15</f>
        <v>45.762</v>
      </c>
      <c r="C15" s="128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xml:space="preserve"> E$1 * (-E15) + F$1 * (-F15) + G$1 * (-G15) + H$1 * (-H15) + I$1 * (-I15) + J$1 * (-J15) + K$1 * (-K15) + L$1 * (-L15)</f>
        <v>45.762</v>
      </c>
      <c r="N15" s="113"/>
      <c r="O15" s="143"/>
    </row>
    <row r="16" spans="1:15" ht="24" customHeight="1" x14ac:dyDescent="0.4">
      <c r="A16" s="149"/>
      <c r="B16" s="145">
        <f>M16</f>
        <v>45.412999999999997</v>
      </c>
      <c r="C16" s="128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xml:space="preserve"> E$1 * (-E16) + F$1 * (-F16) + G$1 * (-G16) + H$1 * (-H16) + I$1 * (-I16) + J$1 * (-J16) + K$1 * (-K16) + L$1 * (-L16)</f>
        <v>45.412999999999997</v>
      </c>
      <c r="N16" s="113"/>
      <c r="O16" s="143"/>
    </row>
    <row r="17" spans="1:15" ht="24" customHeight="1" x14ac:dyDescent="0.4">
      <c r="A17" s="149"/>
      <c r="B17" s="145">
        <f>M17</f>
        <v>45.198</v>
      </c>
      <c r="C17" s="128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xml:space="preserve"> E$1 * (-E17) + F$1 * (-F17) + G$1 * (-G17) + H$1 * (-H17) + I$1 * (-I17) + J$1 * (-J17) + K$1 * (-K17) + L$1 * (-L17)</f>
        <v>45.198</v>
      </c>
      <c r="N17" s="113"/>
      <c r="O17" s="143"/>
    </row>
    <row r="18" spans="1:15" ht="24" customHeight="1" x14ac:dyDescent="0.4">
      <c r="A18" s="149"/>
      <c r="B18" s="145">
        <f>M18</f>
        <v>45.132999999999996</v>
      </c>
      <c r="C18" s="128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xml:space="preserve"> E$1 * (-E18) + F$1 * (-F18) + G$1 * (-G18) + H$1 * (-H18) + I$1 * (-I18) + J$1 * (-J18) + K$1 * (-K18) + L$1 * (-L18)</f>
        <v>45.132999999999996</v>
      </c>
      <c r="N18" s="113"/>
      <c r="O18" s="143"/>
    </row>
    <row r="19" spans="1:15" ht="24" customHeight="1" x14ac:dyDescent="0.4">
      <c r="A19" s="149"/>
      <c r="B19" s="145">
        <f>M19</f>
        <v>44.810000000000009</v>
      </c>
      <c r="C19" s="128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xml:space="preserve"> E$1 * (-E19) + F$1 * (-F19) + G$1 * (-G19) + H$1 * (-H19) + I$1 * (-I19) + J$1 * (-J19) + K$1 * (-K19) + L$1 * (-L19)</f>
        <v>44.810000000000009</v>
      </c>
      <c r="N19" s="113"/>
      <c r="O19" s="143"/>
    </row>
    <row r="20" spans="1:15" ht="24" customHeight="1" x14ac:dyDescent="0.4">
      <c r="A20" s="149"/>
      <c r="B20" s="145">
        <f>M20</f>
        <v>44.763000000000012</v>
      </c>
      <c r="C20" s="128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xml:space="preserve"> E$1 * (-E20) + F$1 * (-F20) + G$1 * (-G20) + H$1 * (-H20) + I$1 * (-I20) + J$1 * (-J20) + K$1 * (-K20) + L$1 * (-L20)</f>
        <v>44.763000000000012</v>
      </c>
      <c r="N20" s="113"/>
      <c r="O20" s="143"/>
    </row>
    <row r="21" spans="1:15" ht="24" customHeight="1" x14ac:dyDescent="0.4">
      <c r="A21" s="149"/>
      <c r="B21" s="145">
        <f>M21</f>
        <v>44.211999999999996</v>
      </c>
      <c r="C21" s="128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xml:space="preserve"> E$1 * (-E21) + F$1 * (-F21) + G$1 * (-G21) + H$1 * (-H21) + I$1 * (-I21) + J$1 * (-J21) + K$1 * (-K21) + L$1 * (-L21)</f>
        <v>44.211999999999996</v>
      </c>
      <c r="N21" s="113"/>
      <c r="O21" s="143"/>
    </row>
    <row r="22" spans="1:15" ht="24" customHeight="1" x14ac:dyDescent="0.4">
      <c r="A22" s="149"/>
      <c r="B22" s="145">
        <f>M22</f>
        <v>43.959999999999994</v>
      </c>
      <c r="C22" s="128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xml:space="preserve"> E$1 * (-E22) + F$1 * (-F22) + G$1 * (-G22) + H$1 * (-H22) + I$1 * (-I22) + J$1 * (-J22) + K$1 * (-K22) + L$1 * (-L22)</f>
        <v>43.959999999999994</v>
      </c>
      <c r="N22" s="113"/>
      <c r="O22" s="143"/>
    </row>
    <row r="23" spans="1:15" ht="24" customHeight="1" x14ac:dyDescent="0.4">
      <c r="A23" s="149"/>
      <c r="B23" s="145">
        <f>M23</f>
        <v>43.783000000000001</v>
      </c>
      <c r="C23" s="128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xml:space="preserve"> E$1 * (-E23) + F$1 * (-F23) + G$1 * (-G23) + H$1 * (-H23) + I$1 * (-I23) + J$1 * (-J23) + K$1 * (-K23) + L$1 * (-L23)</f>
        <v>43.783000000000001</v>
      </c>
      <c r="N23" s="113"/>
      <c r="O23" s="143"/>
    </row>
    <row r="24" spans="1:15" ht="24" customHeight="1" x14ac:dyDescent="0.4">
      <c r="A24" s="149"/>
      <c r="B24" s="145">
        <f>M24</f>
        <v>43.307000000000002</v>
      </c>
      <c r="C24" s="128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xml:space="preserve"> E$1 * (-E24) + F$1 * (-F24) + G$1 * (-G24) + H$1 * (-H24) + I$1 * (-I24) + J$1 * (-J24) + K$1 * (-K24) + L$1 * (-L24)</f>
        <v>43.307000000000002</v>
      </c>
      <c r="N24" s="113"/>
      <c r="O24" s="143"/>
    </row>
    <row r="25" spans="1:15" ht="24" customHeight="1" x14ac:dyDescent="0.4">
      <c r="A25" s="149"/>
      <c r="B25" s="145">
        <f>M25</f>
        <v>43.202399999999997</v>
      </c>
      <c r="C25" s="128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xml:space="preserve"> E$1 * (-E25) + F$1 * (-F25) + G$1 * (-G25) + H$1 * (-H25) + I$1 * (-I25) + J$1 * (-J25) + K$1 * (-K25) + L$1 * (-L25)</f>
        <v>43.202399999999997</v>
      </c>
      <c r="N25" s="113"/>
      <c r="O25" s="143"/>
    </row>
    <row r="26" spans="1:15" ht="24" customHeight="1" x14ac:dyDescent="0.4">
      <c r="A26" s="149"/>
      <c r="B26" s="145">
        <f>M26</f>
        <v>43.195999999999998</v>
      </c>
      <c r="C26" s="128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xml:space="preserve"> E$1 * (-E26) + F$1 * (-F26) + G$1 * (-G26) + H$1 * (-H26) + I$1 * (-I26) + J$1 * (-J26) + K$1 * (-K26) + L$1 * (-L26)</f>
        <v>43.195999999999998</v>
      </c>
      <c r="N26" s="113"/>
      <c r="O26" s="143"/>
    </row>
    <row r="27" spans="1:15" ht="24" customHeight="1" x14ac:dyDescent="0.4">
      <c r="A27" s="149"/>
      <c r="B27" s="145">
        <f>M27</f>
        <v>42.821000000000005</v>
      </c>
      <c r="C27" s="128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xml:space="preserve"> E$1 * (-E27) + F$1 * (-F27) + G$1 * (-G27) + H$1 * (-H27) + I$1 * (-I27) + J$1 * (-J27) + K$1 * (-K27) + L$1 * (-L27)</f>
        <v>42.821000000000005</v>
      </c>
      <c r="N27" s="113"/>
      <c r="O27" s="143"/>
    </row>
    <row r="28" spans="1:15" ht="24" customHeight="1" x14ac:dyDescent="0.4">
      <c r="A28" s="149"/>
      <c r="B28" s="145">
        <f>M28</f>
        <v>42.463999999999992</v>
      </c>
      <c r="C28" s="128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xml:space="preserve"> E$1 * (-E28) + F$1 * (-F28) + G$1 * (-G28) + H$1 * (-H28) + I$1 * (-I28) + J$1 * (-J28) + K$1 * (-K28) + L$1 * (-L28)</f>
        <v>42.463999999999992</v>
      </c>
      <c r="N28" s="113"/>
      <c r="O28" s="143"/>
    </row>
    <row r="29" spans="1:15" ht="24" customHeight="1" x14ac:dyDescent="0.4">
      <c r="A29" s="149" t="s">
        <v>222</v>
      </c>
      <c r="B29" s="145">
        <f>M29</f>
        <v>42.218000000000004</v>
      </c>
      <c r="C29" s="128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xml:space="preserve"> E$1 * (-E29) + F$1 * (-F29) + G$1 * (-G29) + H$1 * (-H29) + I$1 * (-I29) + J$1 * (-J29) + K$1 * (-K29) + L$1 * (-L29)</f>
        <v>42.218000000000004</v>
      </c>
      <c r="N29" s="113"/>
      <c r="O29" s="143"/>
    </row>
    <row r="30" spans="1:15" ht="24" customHeight="1" x14ac:dyDescent="0.4">
      <c r="A30" s="149"/>
      <c r="B30" s="145">
        <f>M30</f>
        <v>41.698000000000008</v>
      </c>
      <c r="C30" s="128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xml:space="preserve"> E$1 * (-E30) + F$1 * (-F30) + G$1 * (-G30) + H$1 * (-H30) + I$1 * (-I30) + J$1 * (-J30) + K$1 * (-K30) + L$1 * (-L30)</f>
        <v>41.698000000000008</v>
      </c>
      <c r="N30" s="113"/>
      <c r="O30" s="143"/>
    </row>
    <row r="31" spans="1:15" ht="24" customHeight="1" x14ac:dyDescent="0.4">
      <c r="A31" s="149" t="s">
        <v>222</v>
      </c>
      <c r="B31" s="145">
        <f>M31</f>
        <v>41.636000000000003</v>
      </c>
      <c r="C31" s="129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xml:space="preserve"> E$1 * (-E31) + F$1 * (-F31) + G$1 * (-G31) + H$1 * (-H31) + I$1 * (-I31) + J$1 * (-J31) + K$1 * (-K31) + L$1 * (-L31)</f>
        <v>41.636000000000003</v>
      </c>
      <c r="N31" s="113"/>
      <c r="O31" s="143"/>
    </row>
    <row r="32" spans="1:15" ht="24" customHeight="1" x14ac:dyDescent="0.4">
      <c r="A32" s="149"/>
      <c r="B32" s="145">
        <f>M32</f>
        <v>41.457000000000008</v>
      </c>
      <c r="C32" s="128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xml:space="preserve"> E$1 * (-E32) + F$1 * (-F32) + G$1 * (-G32) + H$1 * (-H32) + I$1 * (-I32) + J$1 * (-J32) + K$1 * (-K32) + L$1 * (-L32)</f>
        <v>41.457000000000008</v>
      </c>
      <c r="N32" s="113"/>
      <c r="O32" s="143"/>
    </row>
    <row r="33" spans="1:15" ht="24" customHeight="1" x14ac:dyDescent="0.4">
      <c r="A33" s="149"/>
      <c r="B33" s="145">
        <f>M33</f>
        <v>41.25</v>
      </c>
      <c r="C33" s="128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xml:space="preserve"> E$1 * (-E33) + F$1 * (-F33) + G$1 * (-G33) + H$1 * (-H33) + I$1 * (-I33) + J$1 * (-J33) + K$1 * (-K33) + L$1 * (-L33)</f>
        <v>41.25</v>
      </c>
      <c r="N33" s="113"/>
      <c r="O33" s="143"/>
    </row>
    <row r="34" spans="1:15" ht="24" customHeight="1" x14ac:dyDescent="0.4">
      <c r="A34" s="149"/>
      <c r="B34" s="145">
        <f>M34</f>
        <v>41.235000000000007</v>
      </c>
      <c r="C34" s="128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xml:space="preserve"> E$1 * (-E34) + F$1 * (-F34) + G$1 * (-G34) + H$1 * (-H34) + I$1 * (-I34) + J$1 * (-J34) + K$1 * (-K34) + L$1 * (-L34)</f>
        <v>41.235000000000007</v>
      </c>
      <c r="N34" s="113"/>
      <c r="O34" s="143"/>
    </row>
    <row r="35" spans="1:15" ht="24" customHeight="1" x14ac:dyDescent="0.4">
      <c r="A35" s="149"/>
      <c r="B35" s="145">
        <f>M35</f>
        <v>41.01</v>
      </c>
      <c r="C35" s="128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xml:space="preserve"> E$1 * (-E35) + F$1 * (-F35) + G$1 * (-G35) + H$1 * (-H35) + I$1 * (-I35) + J$1 * (-J35) + K$1 * (-K35) + L$1 * (-L35)</f>
        <v>41.01</v>
      </c>
      <c r="N35" s="113"/>
      <c r="O35" s="143"/>
    </row>
    <row r="36" spans="1:15" ht="24" customHeight="1" x14ac:dyDescent="0.4">
      <c r="A36" s="149" t="s">
        <v>222</v>
      </c>
      <c r="B36" s="145">
        <f>M36</f>
        <v>40.68</v>
      </c>
      <c r="C36" s="128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xml:space="preserve"> E$1 * (-E36) + F$1 * (-F36) + G$1 * (-G36) + H$1 * (-H36) + I$1 * (-I36) + J$1 * (-J36) + K$1 * (-K36) + L$1 * (-L36)</f>
        <v>40.68</v>
      </c>
      <c r="N36" s="113"/>
      <c r="O36" s="143"/>
    </row>
    <row r="37" spans="1:15" ht="24" customHeight="1" x14ac:dyDescent="0.4">
      <c r="A37" s="149"/>
      <c r="B37" s="145">
        <f>M37</f>
        <v>40.674000000000007</v>
      </c>
      <c r="C37" s="128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xml:space="preserve"> E$1 * (-E37) + F$1 * (-F37) + G$1 * (-G37) + H$1 * (-H37) + I$1 * (-I37) + J$1 * (-J37) + K$1 * (-K37) + L$1 * (-L37)</f>
        <v>40.674000000000007</v>
      </c>
      <c r="N37" s="113"/>
      <c r="O37" s="143"/>
    </row>
    <row r="38" spans="1:15" ht="24" customHeight="1" x14ac:dyDescent="0.4">
      <c r="A38" s="149"/>
      <c r="B38" s="145">
        <f>M38</f>
        <v>40.496000000000002</v>
      </c>
      <c r="C38" s="128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xml:space="preserve"> E$1 * (-E38) + F$1 * (-F38) + G$1 * (-G38) + H$1 * (-H38) + I$1 * (-I38) + J$1 * (-J38) + K$1 * (-K38) + L$1 * (-L38)</f>
        <v>40.496000000000002</v>
      </c>
      <c r="N38" s="113"/>
      <c r="O38" s="143"/>
    </row>
    <row r="39" spans="1:15" ht="24" customHeight="1" x14ac:dyDescent="0.4">
      <c r="A39" s="149"/>
      <c r="B39" s="145">
        <f>M39</f>
        <v>40.383000000000003</v>
      </c>
      <c r="C39" s="129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xml:space="preserve"> E$1 * (-E39) + F$1 * (-F39) + G$1 * (-G39) + H$1 * (-H39) + I$1 * (-I39) + J$1 * (-J39) + K$1 * (-K39) + L$1 * (-L39)</f>
        <v>40.383000000000003</v>
      </c>
      <c r="N39" s="113"/>
      <c r="O39" s="143"/>
    </row>
    <row r="40" spans="1:15" ht="24" customHeight="1" x14ac:dyDescent="0.4">
      <c r="A40" s="149"/>
      <c r="B40" s="145">
        <f>M40</f>
        <v>39.676000000000002</v>
      </c>
      <c r="C40" s="128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xml:space="preserve"> E$1 * (-E40) + F$1 * (-F40) + G$1 * (-G40) + H$1 * (-H40) + I$1 * (-I40) + J$1 * (-J40) + K$1 * (-K40) + L$1 * (-L40)</f>
        <v>39.676000000000002</v>
      </c>
      <c r="N40" s="113"/>
      <c r="O40" s="143"/>
    </row>
    <row r="41" spans="1:15" ht="24" customHeight="1" x14ac:dyDescent="0.4">
      <c r="A41" s="149" t="s">
        <v>222</v>
      </c>
      <c r="B41" s="145">
        <f>M41</f>
        <v>38.885999999999996</v>
      </c>
      <c r="C41" s="129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xml:space="preserve"> E$1 * (-E41) + F$1 * (-F41) + G$1 * (-G41) + H$1 * (-H41) + I$1 * (-I41) + J$1 * (-J41) + K$1 * (-K41) + L$1 * (-L41)</f>
        <v>38.885999999999996</v>
      </c>
      <c r="N41" s="113"/>
      <c r="O41" s="143"/>
    </row>
    <row r="42" spans="1:15" ht="24" customHeight="1" x14ac:dyDescent="0.4">
      <c r="A42" s="149"/>
      <c r="B42" s="145">
        <f>M42</f>
        <v>38.398999999999994</v>
      </c>
      <c r="C42" s="128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xml:space="preserve"> E$1 * (-E42) + F$1 * (-F42) + G$1 * (-G42) + H$1 * (-H42) + I$1 * (-I42) + J$1 * (-J42) + K$1 * (-K42) + L$1 * (-L42)</f>
        <v>38.398999999999994</v>
      </c>
      <c r="N42" s="113"/>
      <c r="O42" s="143"/>
    </row>
    <row r="43" spans="1:15" ht="24" customHeight="1" x14ac:dyDescent="0.4">
      <c r="A43" s="149"/>
      <c r="B43" s="145">
        <f>M43</f>
        <v>38.353999999999999</v>
      </c>
      <c r="C43" s="128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xml:space="preserve"> E$1 * (-E43) + F$1 * (-F43) + G$1 * (-G43) + H$1 * (-H43) + I$1 * (-I43) + J$1 * (-J43) + K$1 * (-K43) + L$1 * (-L43)</f>
        <v>38.353999999999999</v>
      </c>
      <c r="N43" s="113"/>
      <c r="O43" s="143"/>
    </row>
    <row r="44" spans="1:15" ht="24" customHeight="1" x14ac:dyDescent="0.4">
      <c r="A44" s="149" t="s">
        <v>222</v>
      </c>
      <c r="B44" s="145">
        <f>M44</f>
        <v>38.156000000000006</v>
      </c>
      <c r="C44" s="128" t="s">
        <v>221</v>
      </c>
      <c r="D44" s="77" t="s">
        <v>220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xml:space="preserve"> E$1 * (-E44) + F$1 * (-F44) + G$1 * (-G44) + H$1 * (-H44) + I$1 * (-I44) + J$1 * (-J44) + K$1 * (-K44) + L$1 * (-L44)</f>
        <v>38.156000000000006</v>
      </c>
      <c r="N44" s="113"/>
      <c r="O44" s="143"/>
    </row>
    <row r="45" spans="1:15" ht="24" customHeight="1" x14ac:dyDescent="0.4">
      <c r="A45" s="149" t="s">
        <v>222</v>
      </c>
      <c r="B45" s="145">
        <f>M45</f>
        <v>38.071000000000005</v>
      </c>
      <c r="C45" s="130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xml:space="preserve"> E$1 * (-E45) + F$1 * (-F45) + G$1 * (-G45) + H$1 * (-H45) + I$1 * (-I45) + J$1 * (-J45) + K$1 * (-K45) + L$1 * (-L45)</f>
        <v>38.071000000000005</v>
      </c>
      <c r="N45" s="113"/>
      <c r="O45" s="143"/>
    </row>
    <row r="46" spans="1:15" ht="24" customHeight="1" x14ac:dyDescent="0.4">
      <c r="A46" s="149"/>
      <c r="B46" s="145">
        <f>M46</f>
        <v>37.293000000000006</v>
      </c>
      <c r="C46" s="128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xml:space="preserve"> E$1 * (-E46) + F$1 * (-F46) + G$1 * (-G46) + H$1 * (-H46) + I$1 * (-I46) + J$1 * (-J46) + K$1 * (-K46) + L$1 * (-L46)</f>
        <v>37.293000000000006</v>
      </c>
      <c r="N46" s="113"/>
      <c r="O46" s="143"/>
    </row>
    <row r="47" spans="1:15" ht="24" customHeight="1" x14ac:dyDescent="0.4">
      <c r="A47" s="149" t="s">
        <v>222</v>
      </c>
      <c r="B47" s="145">
        <f>M47</f>
        <v>36.846999999999994</v>
      </c>
      <c r="C47" s="129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xml:space="preserve"> E$1 * (-E47) + F$1 * (-F47) + G$1 * (-G47) + H$1 * (-H47) + I$1 * (-I47) + J$1 * (-J47) + K$1 * (-K47) + L$1 * (-L47)</f>
        <v>36.846999999999994</v>
      </c>
      <c r="N47" s="113"/>
      <c r="O47" s="143"/>
    </row>
    <row r="48" spans="1:15" ht="24" customHeight="1" x14ac:dyDescent="0.4">
      <c r="A48" s="149" t="s">
        <v>222</v>
      </c>
      <c r="B48" s="145">
        <f>M48</f>
        <v>36.591999999999999</v>
      </c>
      <c r="C48" s="128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xml:space="preserve"> E$1 * (-E48) + F$1 * (-F48) + G$1 * (-G48) + H$1 * (-H48) + I$1 * (-I48) + J$1 * (-J48) + K$1 * (-K48) + L$1 * (-L48)</f>
        <v>36.591999999999999</v>
      </c>
      <c r="N48" s="113"/>
      <c r="O48" s="143"/>
    </row>
    <row r="49" spans="1:15" ht="24" customHeight="1" x14ac:dyDescent="0.4">
      <c r="A49" s="149"/>
      <c r="B49" s="145">
        <f>M49</f>
        <v>36.158999999999992</v>
      </c>
      <c r="C49" s="129" t="s">
        <v>234</v>
      </c>
      <c r="D49" s="77" t="s">
        <v>232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2">
        <v>-6.1</v>
      </c>
      <c r="M49" s="118">
        <f xml:space="preserve"> E$1 * (-E49) + F$1 * (-F49) + G$1 * (-G49) + H$1 * (-H49) + I$1 * (-I49) + J$1 * (-J49) + K$1 * (-K49) + L$1 * (-L49)</f>
        <v>36.158999999999992</v>
      </c>
      <c r="N49" s="113" t="s">
        <v>233</v>
      </c>
      <c r="O49" s="143"/>
    </row>
    <row r="50" spans="1:15" ht="24" customHeight="1" x14ac:dyDescent="0.4">
      <c r="A50" s="149"/>
      <c r="B50" s="145">
        <f>M50</f>
        <v>36.019000000000005</v>
      </c>
      <c r="C50" s="128" t="s">
        <v>106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2">
        <v>-5.9</v>
      </c>
      <c r="M50" s="118">
        <f xml:space="preserve"> E$1 * (-E50) + F$1 * (-F50) + G$1 * (-G50) + H$1 * (-H50) + I$1 * (-I50) + J$1 * (-J50) + K$1 * (-K50) + L$1 * (-L50)</f>
        <v>36.019000000000005</v>
      </c>
      <c r="N50" s="113"/>
      <c r="O50" s="143"/>
    </row>
    <row r="51" spans="1:15" ht="24" customHeight="1" x14ac:dyDescent="0.4">
      <c r="A51" s="149" t="s">
        <v>222</v>
      </c>
      <c r="B51" s="145">
        <f>M51</f>
        <v>35.695</v>
      </c>
      <c r="C51" s="128" t="s">
        <v>215</v>
      </c>
      <c r="D51" s="77" t="s">
        <v>216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2">
        <v>-5.3</v>
      </c>
      <c r="M51" s="118">
        <f xml:space="preserve"> E$1 * (-E51) + F$1 * (-F51) + G$1 * (-G51) + H$1 * (-H51) + I$1 * (-I51) + J$1 * (-J51) + K$1 * (-K51) + L$1 * (-L51)</f>
        <v>35.695</v>
      </c>
      <c r="N51" s="113"/>
      <c r="O51" s="143"/>
    </row>
    <row r="52" spans="1:15" ht="24" customHeight="1" x14ac:dyDescent="0.4">
      <c r="A52" s="149"/>
      <c r="B52" s="145">
        <f>M52</f>
        <v>35.296000000000006</v>
      </c>
      <c r="C52" s="131" t="s">
        <v>100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2">
        <v>-6.5</v>
      </c>
      <c r="M52" s="118">
        <f xml:space="preserve"> E$1 * (-E52) + F$1 * (-F52) + G$1 * (-G52) + H$1 * (-H52) + I$1 * (-I52) + J$1 * (-J52) + K$1 * (-K52) + L$1 * (-L52)</f>
        <v>35.296000000000006</v>
      </c>
      <c r="N52" s="113"/>
      <c r="O52" s="143"/>
    </row>
    <row r="53" spans="1:15" ht="24" customHeight="1" x14ac:dyDescent="0.4">
      <c r="A53" s="149" t="s">
        <v>222</v>
      </c>
      <c r="B53" s="145">
        <f>M53</f>
        <v>35.221000000000004</v>
      </c>
      <c r="C53" s="131" t="s">
        <v>217</v>
      </c>
      <c r="D53" s="77" t="s">
        <v>216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2">
        <v>-7.5</v>
      </c>
      <c r="M53" s="118">
        <f xml:space="preserve"> E$1 * (-E53) + F$1 * (-F53) + G$1 * (-G53) + H$1 * (-H53) + I$1 * (-I53) + J$1 * (-J53) + K$1 * (-K53) + L$1 * (-L53)</f>
        <v>35.221000000000004</v>
      </c>
      <c r="N53" s="113" t="s">
        <v>218</v>
      </c>
      <c r="O53" s="143"/>
    </row>
    <row r="54" spans="1:15" ht="24" customHeight="1" x14ac:dyDescent="0.4">
      <c r="A54" s="149" t="s">
        <v>222</v>
      </c>
      <c r="B54" s="145">
        <f>M54</f>
        <v>35.183999999999997</v>
      </c>
      <c r="C54" s="128" t="s">
        <v>214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2">
        <v>-4.0999999999999996</v>
      </c>
      <c r="M54" s="118">
        <f xml:space="preserve"> E$1 * (-E54) + F$1 * (-F54) + G$1 * (-G54) + H$1 * (-H54) + I$1 * (-I54) + J$1 * (-J54) + K$1 * (-K54) + L$1 * (-L54)</f>
        <v>35.183999999999997</v>
      </c>
      <c r="N54" s="113"/>
      <c r="O54" s="143"/>
    </row>
    <row r="55" spans="1:15" ht="24" customHeight="1" x14ac:dyDescent="0.4">
      <c r="A55" s="149" t="s">
        <v>222</v>
      </c>
      <c r="B55" s="145">
        <f>M55</f>
        <v>35.105999999999995</v>
      </c>
      <c r="C55" s="128" t="s">
        <v>180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2">
        <v>-7</v>
      </c>
      <c r="M55" s="118">
        <f xml:space="preserve"> E$1 * (-E55) + F$1 * (-F55) + G$1 * (-G55) + H$1 * (-H55) + I$1 * (-I55) + J$1 * (-J55) + K$1 * (-K55) + L$1 * (-L55)</f>
        <v>35.105999999999995</v>
      </c>
      <c r="N55" s="113"/>
      <c r="O55" s="143"/>
    </row>
    <row r="56" spans="1:15" ht="24" customHeight="1" x14ac:dyDescent="0.4">
      <c r="A56" s="149"/>
      <c r="B56" s="145">
        <f>M56</f>
        <v>34.978999999999999</v>
      </c>
      <c r="C56" s="129" t="s">
        <v>235</v>
      </c>
      <c r="D56" s="77" t="s">
        <v>232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2">
        <v>-4</v>
      </c>
      <c r="M56" s="118">
        <f xml:space="preserve"> E$1 * (-E56) + F$1 * (-F56) + G$1 * (-G56) + H$1 * (-H56) + I$1 * (-I56) + J$1 * (-J56) + K$1 * (-K56) + L$1 * (-L56)</f>
        <v>34.978999999999999</v>
      </c>
      <c r="N56" s="113"/>
      <c r="O56" s="143"/>
    </row>
    <row r="57" spans="1:15" ht="24" customHeight="1" x14ac:dyDescent="0.4">
      <c r="A57" s="149" t="s">
        <v>222</v>
      </c>
      <c r="B57" s="145">
        <f>M57</f>
        <v>34.978000000000002</v>
      </c>
      <c r="C57" s="128" t="s">
        <v>163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2">
        <v>-4.4000000000000004</v>
      </c>
      <c r="M57" s="118">
        <f xml:space="preserve"> E$1 * (-E57) + F$1 * (-F57) + G$1 * (-G57) + H$1 * (-H57) + I$1 * (-I57) + J$1 * (-J57) + K$1 * (-K57) + L$1 * (-L57)</f>
        <v>34.978000000000002</v>
      </c>
      <c r="N57" s="113"/>
      <c r="O57" s="143"/>
    </row>
    <row r="58" spans="1:15" ht="24" customHeight="1" x14ac:dyDescent="0.4">
      <c r="A58" s="149"/>
      <c r="B58" s="145">
        <f>M58</f>
        <v>34.891999999999996</v>
      </c>
      <c r="C58" s="131" t="s">
        <v>205</v>
      </c>
      <c r="D58" s="77" t="s">
        <v>206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2">
        <v>-4.5999999999999996</v>
      </c>
      <c r="M58" s="118">
        <f xml:space="preserve"> E$1 * (-E58) + F$1 * (-F58) + G$1 * (-G58) + H$1 * (-H58) + I$1 * (-I58) + J$1 * (-J58) + K$1 * (-K58) + L$1 * (-L58)</f>
        <v>34.891999999999996</v>
      </c>
      <c r="N58" s="113" t="s">
        <v>207</v>
      </c>
      <c r="O58" s="143"/>
    </row>
    <row r="59" spans="1:15" ht="24" customHeight="1" x14ac:dyDescent="0.4">
      <c r="A59" s="149"/>
      <c r="B59" s="145">
        <f>M59</f>
        <v>34.865000000000002</v>
      </c>
      <c r="C59" s="128" t="s">
        <v>186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2">
        <v>-5.4</v>
      </c>
      <c r="M59" s="118">
        <f xml:space="preserve"> E$1 * (-E59) + F$1 * (-F59) + G$1 * (-G59) + H$1 * (-H59) + I$1 * (-I59) + J$1 * (-J59) + K$1 * (-K59) + L$1 * (-L59)</f>
        <v>34.865000000000002</v>
      </c>
      <c r="N59" s="113" t="s">
        <v>184</v>
      </c>
      <c r="O59" s="143"/>
    </row>
    <row r="60" spans="1:15" ht="24" customHeight="1" x14ac:dyDescent="0.4">
      <c r="A60" s="149"/>
      <c r="B60" s="145">
        <f>M60</f>
        <v>34.797000000000004</v>
      </c>
      <c r="C60" s="131" t="s">
        <v>76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2">
        <v>-3.5</v>
      </c>
      <c r="M60" s="118">
        <f xml:space="preserve"> E$1 * (-E60) + F$1 * (-F60) + G$1 * (-G60) + H$1 * (-H60) + I$1 * (-I60) + J$1 * (-J60) + K$1 * (-K60) + L$1 * (-L60)</f>
        <v>34.797000000000004</v>
      </c>
      <c r="N60" s="113"/>
      <c r="O60" s="143"/>
    </row>
    <row r="61" spans="1:15" ht="24" customHeight="1" x14ac:dyDescent="0.4">
      <c r="A61" s="149"/>
      <c r="B61" s="145">
        <f>M61</f>
        <v>34.576999999999998</v>
      </c>
      <c r="C61" s="131" t="s">
        <v>164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2">
        <v>-5.0999999999999996</v>
      </c>
      <c r="M61" s="118">
        <f xml:space="preserve"> E$1 * (-E61) + F$1 * (-F61) + G$1 * (-G61) + H$1 * (-H61) + I$1 * (-I61) + J$1 * (-J61) + K$1 * (-K61) + L$1 * (-L61)</f>
        <v>34.576999999999998</v>
      </c>
      <c r="N61" s="113"/>
      <c r="O61" s="143"/>
    </row>
    <row r="62" spans="1:15" ht="24" customHeight="1" x14ac:dyDescent="0.4">
      <c r="A62" s="149"/>
      <c r="B62" s="145">
        <f>M62</f>
        <v>34.329000000000001</v>
      </c>
      <c r="C62" s="128" t="s">
        <v>78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2">
        <v>-2.6</v>
      </c>
      <c r="M62" s="118">
        <f xml:space="preserve"> E$1 * (-E62) + F$1 * (-F62) + G$1 * (-G62) + H$1 * (-H62) + I$1 * (-I62) + J$1 * (-J62) + K$1 * (-K62) + L$1 * (-L62)</f>
        <v>34.329000000000001</v>
      </c>
      <c r="N62" s="113"/>
      <c r="O62" s="143"/>
    </row>
    <row r="63" spans="1:15" ht="24" customHeight="1" x14ac:dyDescent="0.4">
      <c r="A63" s="149"/>
      <c r="B63" s="145">
        <f>M63</f>
        <v>34.165999999999997</v>
      </c>
      <c r="C63" s="130" t="s">
        <v>225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2">
        <v>-4</v>
      </c>
      <c r="M63" s="118">
        <f xml:space="preserve"> E$1 * (-E63) + F$1 * (-F63) + G$1 * (-G63) + H$1 * (-H63) + I$1 * (-I63) + J$1 * (-J63) + K$1 * (-K63) + L$1 * (-L63)</f>
        <v>34.165999999999997</v>
      </c>
      <c r="N63" s="113"/>
      <c r="O63" s="143"/>
    </row>
    <row r="64" spans="1:15" ht="24" customHeight="1" x14ac:dyDescent="0.4">
      <c r="A64" s="149"/>
      <c r="B64" s="145">
        <f>M64</f>
        <v>33.935000000000002</v>
      </c>
      <c r="C64" s="128" t="s">
        <v>105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2">
        <v>-6.1</v>
      </c>
      <c r="M64" s="118">
        <f xml:space="preserve"> E$1 * (-E64) + F$1 * (-F64) + G$1 * (-G64) + H$1 * (-H64) + I$1 * (-I64) + J$1 * (-J64) + K$1 * (-K64) + L$1 * (-L64)</f>
        <v>33.935000000000002</v>
      </c>
      <c r="N64" s="113"/>
      <c r="O64" s="143"/>
    </row>
    <row r="65" spans="1:15" ht="24" customHeight="1" x14ac:dyDescent="0.4">
      <c r="A65" s="149"/>
      <c r="B65" s="145">
        <f>M65</f>
        <v>33.923000000000002</v>
      </c>
      <c r="C65" s="128" t="s">
        <v>104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2">
        <v>-6.1</v>
      </c>
      <c r="M65" s="118">
        <f xml:space="preserve"> E$1 * (-E65) + F$1 * (-F65) + G$1 * (-G65) + H$1 * (-H65) + I$1 * (-I65) + J$1 * (-J65) + K$1 * (-K65) + L$1 * (-L65)</f>
        <v>33.923000000000002</v>
      </c>
      <c r="N65" s="113"/>
      <c r="O65" s="143"/>
    </row>
    <row r="66" spans="1:15" ht="24" customHeight="1" x14ac:dyDescent="0.4">
      <c r="A66" s="149"/>
      <c r="B66" s="145">
        <f>M66</f>
        <v>33.673000000000002</v>
      </c>
      <c r="C66" s="131" t="s">
        <v>76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2">
        <v>-1.9</v>
      </c>
      <c r="M66" s="118">
        <f xml:space="preserve"> E$1 * (-E66) + F$1 * (-F66) + G$1 * (-G66) + H$1 * (-H66) + I$1 * (-I66) + J$1 * (-J66) + K$1 * (-K66) + L$1 * (-L66)</f>
        <v>33.673000000000002</v>
      </c>
      <c r="N66" s="113"/>
      <c r="O66" s="143"/>
    </row>
    <row r="67" spans="1:15" ht="24" customHeight="1" x14ac:dyDescent="0.4">
      <c r="A67" s="149"/>
      <c r="B67" s="145">
        <f>M67</f>
        <v>33.536000000000001</v>
      </c>
      <c r="C67" s="128" t="s">
        <v>163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2">
        <v>-2.5</v>
      </c>
      <c r="M67" s="118">
        <f xml:space="preserve"> E$1 * (-E67) + F$1 * (-F67) + G$1 * (-G67) + H$1 * (-H67) + I$1 * (-I67) + J$1 * (-J67) + K$1 * (-K67) + L$1 * (-L67)</f>
        <v>33.536000000000001</v>
      </c>
      <c r="N67" s="113"/>
      <c r="O67" s="143"/>
    </row>
    <row r="68" spans="1:15" ht="24" customHeight="1" x14ac:dyDescent="0.4">
      <c r="A68" s="149" t="s">
        <v>222</v>
      </c>
      <c r="B68" s="145">
        <f>M68</f>
        <v>33.5</v>
      </c>
      <c r="C68" s="132" t="s">
        <v>199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2">
        <v>-4.5999999999999996</v>
      </c>
      <c r="M68" s="118">
        <f xml:space="preserve"> E$1 * (-E68) + F$1 * (-F68) + G$1 * (-G68) + H$1 * (-H68) + I$1 * (-I68) + J$1 * (-J68) + K$1 * (-K68) + L$1 * (-L68)</f>
        <v>33.5</v>
      </c>
      <c r="N68" s="113" t="s">
        <v>197</v>
      </c>
      <c r="O68" s="143"/>
    </row>
    <row r="69" spans="1:15" ht="24" customHeight="1" x14ac:dyDescent="0.4">
      <c r="A69" s="149"/>
      <c r="B69" s="145">
        <f>M69</f>
        <v>33.497000000000007</v>
      </c>
      <c r="C69" s="128" t="s">
        <v>109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2">
        <v>-4.4000000000000004</v>
      </c>
      <c r="M69" s="118">
        <f xml:space="preserve"> E$1 * (-E69) + F$1 * (-F69) + G$1 * (-G69) + H$1 * (-H69) + I$1 * (-I69) + J$1 * (-J69) + K$1 * (-K69) + L$1 * (-L69)</f>
        <v>33.497000000000007</v>
      </c>
      <c r="N69" s="113"/>
      <c r="O69" s="143"/>
    </row>
    <row r="70" spans="1:15" ht="24" customHeight="1" x14ac:dyDescent="0.4">
      <c r="A70" s="149"/>
      <c r="B70" s="145">
        <f>M70</f>
        <v>33.400000000000006</v>
      </c>
      <c r="C70" s="128" t="s">
        <v>214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2">
        <v>-2.7</v>
      </c>
      <c r="M70" s="118">
        <f xml:space="preserve"> E$1 * (-E70) + F$1 * (-F70) + G$1 * (-G70) + H$1 * (-H70) + I$1 * (-I70) + J$1 * (-J70) + K$1 * (-K70) + L$1 * (-L70)</f>
        <v>33.400000000000006</v>
      </c>
      <c r="N70" s="113"/>
      <c r="O70" s="143"/>
    </row>
    <row r="71" spans="1:15" ht="24" customHeight="1" x14ac:dyDescent="0.4">
      <c r="A71" s="149"/>
      <c r="B71" s="145">
        <f>M71</f>
        <v>32.835000000000001</v>
      </c>
      <c r="C71" s="128" t="s">
        <v>72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2">
        <v>-4</v>
      </c>
      <c r="M71" s="118">
        <f xml:space="preserve"> E$1 * (-E71) + F$1 * (-F71) + G$1 * (-G71) + H$1 * (-H71) + I$1 * (-I71) + J$1 * (-J71) + K$1 * (-K71) + L$1 * (-L71)</f>
        <v>32.835000000000001</v>
      </c>
      <c r="N71" s="113"/>
      <c r="O71" s="143"/>
    </row>
    <row r="72" spans="1:15" ht="24" customHeight="1" x14ac:dyDescent="0.4">
      <c r="A72" s="149"/>
      <c r="B72" s="145">
        <f>M72</f>
        <v>32.823999999999991</v>
      </c>
      <c r="C72" s="142" t="s">
        <v>196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2">
        <v>-4.8</v>
      </c>
      <c r="M72" s="118">
        <f xml:space="preserve"> E$1 * (-E72) + F$1 * (-F72) + G$1 * (-G72) + H$1 * (-H72) + I$1 * (-I72) + J$1 * (-J72) + K$1 * (-K72) + L$1 * (-L72)</f>
        <v>32.823999999999991</v>
      </c>
      <c r="N72" s="113" t="s">
        <v>197</v>
      </c>
      <c r="O72" s="143"/>
    </row>
    <row r="73" spans="1:15" ht="24" customHeight="1" x14ac:dyDescent="0.4">
      <c r="A73" s="149"/>
      <c r="B73" s="145">
        <f>M73</f>
        <v>32.736000000000004</v>
      </c>
      <c r="C73" s="128" t="s">
        <v>193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2">
        <v>-3.8</v>
      </c>
      <c r="M73" s="118">
        <f xml:space="preserve"> E$1 * (-E73) + F$1 * (-F73) + G$1 * (-G73) + H$1 * (-H73) + I$1 * (-I73) + J$1 * (-J73) + K$1 * (-K73) + L$1 * (-L73)</f>
        <v>32.736000000000004</v>
      </c>
      <c r="N73" s="113"/>
      <c r="O73" s="143"/>
    </row>
    <row r="74" spans="1:15" ht="24" customHeight="1" x14ac:dyDescent="0.4">
      <c r="A74" s="149"/>
      <c r="B74" s="145">
        <f>M74</f>
        <v>32.658999999999999</v>
      </c>
      <c r="C74" s="131" t="s">
        <v>203</v>
      </c>
      <c r="D74" s="77" t="s">
        <v>204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2">
        <v>-4.9000000000000004</v>
      </c>
      <c r="M74" s="118">
        <f xml:space="preserve"> E$1 * (-E74) + F$1 * (-F74) + G$1 * (-G74) + H$1 * (-H74) + I$1 * (-I74) + J$1 * (-J74) + K$1 * (-K74) + L$1 * (-L74)</f>
        <v>32.658999999999999</v>
      </c>
      <c r="N74" s="113" t="s">
        <v>208</v>
      </c>
      <c r="O74" s="143"/>
    </row>
    <row r="75" spans="1:15" ht="24" customHeight="1" x14ac:dyDescent="0.4">
      <c r="A75" s="149"/>
      <c r="B75" s="145">
        <f>M75</f>
        <v>32.586000000000006</v>
      </c>
      <c r="C75" s="128" t="s">
        <v>78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2">
        <v>-0.7</v>
      </c>
      <c r="M75" s="118">
        <f xml:space="preserve"> E$1 * (-E75) + F$1 * (-F75) + G$1 * (-G75) + H$1 * (-H75) + I$1 * (-I75) + J$1 * (-J75) + K$1 * (-K75) + L$1 * (-L75)</f>
        <v>32.586000000000006</v>
      </c>
      <c r="N75" s="113"/>
      <c r="O75" s="143"/>
    </row>
    <row r="76" spans="1:15" ht="24" customHeight="1" x14ac:dyDescent="0.4">
      <c r="A76" s="149"/>
      <c r="B76" s="145">
        <f>M76</f>
        <v>32.480999999999995</v>
      </c>
      <c r="C76" s="132" t="s">
        <v>70</v>
      </c>
      <c r="D76" s="77">
        <v>6190</v>
      </c>
      <c r="E76" s="68">
        <v>-29.4</v>
      </c>
      <c r="F76" s="72">
        <v>-45</v>
      </c>
      <c r="G76" s="74">
        <v>-36</v>
      </c>
      <c r="H76" s="72">
        <v>-28.5</v>
      </c>
      <c r="I76" s="68">
        <v>-27.1</v>
      </c>
      <c r="J76" s="74">
        <v>-3.3</v>
      </c>
      <c r="K76" s="72">
        <v>-50.2</v>
      </c>
      <c r="L76" s="122">
        <v>-4.9000000000000004</v>
      </c>
      <c r="M76" s="118">
        <f xml:space="preserve"> E$1 * (-E76) + F$1 * (-F76) + G$1 * (-G76) + H$1 * (-H76) + I$1 * (-I76) + J$1 * (-J76) + K$1 * (-K76) + L$1 * (-L76)</f>
        <v>32.480999999999995</v>
      </c>
      <c r="N76" s="113" t="s">
        <v>197</v>
      </c>
      <c r="O76" s="143"/>
    </row>
    <row r="77" spans="1:15" ht="24" customHeight="1" x14ac:dyDescent="0.4">
      <c r="A77" s="149"/>
      <c r="B77" s="145">
        <f>M77</f>
        <v>32.398000000000003</v>
      </c>
      <c r="C77" s="128" t="s">
        <v>72</v>
      </c>
      <c r="D77" s="77">
        <v>9120</v>
      </c>
      <c r="E77" s="68">
        <v>-27.9</v>
      </c>
      <c r="F77" s="72">
        <v>-44.2</v>
      </c>
      <c r="G77" s="74">
        <v>-36.299999999999997</v>
      </c>
      <c r="H77" s="72">
        <v>-36.5</v>
      </c>
      <c r="I77" s="68">
        <v>-25.3</v>
      </c>
      <c r="J77" s="74">
        <v>-0.7</v>
      </c>
      <c r="K77" s="72">
        <v>-51.5</v>
      </c>
      <c r="L77" s="122">
        <v>-3.2</v>
      </c>
      <c r="M77" s="118">
        <f xml:space="preserve"> E$1 * (-E77) + F$1 * (-F77) + G$1 * (-G77) + H$1 * (-H77) + I$1 * (-I77) + J$1 * (-J77) + K$1 * (-K77) + L$1 * (-L77)</f>
        <v>32.398000000000003</v>
      </c>
      <c r="N77" s="113"/>
      <c r="O77" s="143"/>
    </row>
    <row r="78" spans="1:15" ht="24" customHeight="1" x14ac:dyDescent="0.4">
      <c r="A78" s="149" t="s">
        <v>222</v>
      </c>
      <c r="B78" s="145">
        <f>M78</f>
        <v>31.989000000000004</v>
      </c>
      <c r="C78" s="132" t="s">
        <v>70</v>
      </c>
      <c r="D78" s="77" t="s">
        <v>156</v>
      </c>
      <c r="E78" s="68">
        <v>-28.4</v>
      </c>
      <c r="F78" s="72">
        <v>-45.3</v>
      </c>
      <c r="G78" s="74">
        <v>-36</v>
      </c>
      <c r="H78" s="72">
        <v>-27.6</v>
      </c>
      <c r="I78" s="68">
        <v>-26</v>
      </c>
      <c r="J78" s="74">
        <v>-3.3</v>
      </c>
      <c r="K78" s="72">
        <v>-50.2</v>
      </c>
      <c r="L78" s="122">
        <v>-3.7</v>
      </c>
      <c r="M78" s="118">
        <f xml:space="preserve"> E$1 * (-E78) + F$1 * (-F78) + G$1 * (-G78) + H$1 * (-H78) + I$1 * (-I78) + J$1 * (-J78) + K$1 * (-K78) + L$1 * (-L78)</f>
        <v>31.989000000000004</v>
      </c>
      <c r="N78" s="113"/>
      <c r="O78" s="143"/>
    </row>
    <row r="79" spans="1:15" ht="24" customHeight="1" x14ac:dyDescent="0.4">
      <c r="A79" s="149"/>
      <c r="B79" s="145">
        <f>M79</f>
        <v>31.929000000000002</v>
      </c>
      <c r="C79" s="132" t="s">
        <v>212</v>
      </c>
      <c r="D79" s="77" t="s">
        <v>213</v>
      </c>
      <c r="E79" s="68">
        <v>-28.4</v>
      </c>
      <c r="F79" s="72">
        <v>-45.1</v>
      </c>
      <c r="G79" s="74">
        <v>-36</v>
      </c>
      <c r="H79" s="72">
        <v>-27.4</v>
      </c>
      <c r="I79" s="68">
        <v>-26</v>
      </c>
      <c r="J79" s="74">
        <v>-3.3</v>
      </c>
      <c r="K79" s="72">
        <v>-50.2</v>
      </c>
      <c r="L79" s="122">
        <v>-3.7</v>
      </c>
      <c r="M79" s="118">
        <f xml:space="preserve"> E$1 * (-E79) + F$1 * (-F79) + G$1 * (-G79) + H$1 * (-H79) + I$1 * (-I79) + J$1 * (-J79) + K$1 * (-K79) + L$1 * (-L79)</f>
        <v>31.929000000000002</v>
      </c>
      <c r="N79" s="113"/>
      <c r="O79" s="143"/>
    </row>
    <row r="80" spans="1:15" ht="24" customHeight="1" x14ac:dyDescent="0.4">
      <c r="A80" s="149"/>
      <c r="B80" s="145">
        <f>M80</f>
        <v>31.896999999999998</v>
      </c>
      <c r="C80" s="142" t="s">
        <v>239</v>
      </c>
      <c r="D80" s="77" t="s">
        <v>237</v>
      </c>
      <c r="E80" s="68">
        <v>-28.4</v>
      </c>
      <c r="F80" s="72">
        <v>-45.1</v>
      </c>
      <c r="G80" s="74">
        <v>-36</v>
      </c>
      <c r="H80" s="72">
        <v>-27.2</v>
      </c>
      <c r="I80" s="68">
        <v>-25.9</v>
      </c>
      <c r="J80" s="74">
        <v>-3.3</v>
      </c>
      <c r="K80" s="72">
        <v>-50.2</v>
      </c>
      <c r="L80" s="122">
        <v>-3.5</v>
      </c>
      <c r="M80" s="118">
        <f xml:space="preserve"> E$1 * (-E80) + F$1 * (-F80) + G$1 * (-G80) + H$1 * (-H80) + I$1 * (-I80) + J$1 * (-J80) + K$1 * (-K80) + L$1 * (-L80)</f>
        <v>31.896999999999998</v>
      </c>
      <c r="N80" s="113" t="s">
        <v>238</v>
      </c>
      <c r="O80" s="143"/>
    </row>
    <row r="81" spans="1:15" ht="24" customHeight="1" x14ac:dyDescent="0.4">
      <c r="A81" s="149"/>
      <c r="B81" s="145">
        <f>M81</f>
        <v>31.725000000000001</v>
      </c>
      <c r="C81" s="132" t="s">
        <v>70</v>
      </c>
      <c r="D81" s="77">
        <v>9120</v>
      </c>
      <c r="E81" s="68">
        <v>-28.2</v>
      </c>
      <c r="F81" s="72">
        <v>-44.6</v>
      </c>
      <c r="G81" s="74">
        <v>-36</v>
      </c>
      <c r="H81" s="72">
        <v>-27.3</v>
      </c>
      <c r="I81" s="68">
        <v>-25.7</v>
      </c>
      <c r="J81" s="74">
        <v>-3.3</v>
      </c>
      <c r="K81" s="72">
        <v>-50.2</v>
      </c>
      <c r="L81" s="122">
        <v>-3.7</v>
      </c>
      <c r="M81" s="118">
        <f xml:space="preserve"> E$1 * (-E81) + F$1 * (-F81) + G$1 * (-G81) + H$1 * (-H81) + I$1 * (-I81) + J$1 * (-J81) + K$1 * (-K81) + L$1 * (-L81)</f>
        <v>31.725000000000001</v>
      </c>
      <c r="N81" s="113"/>
      <c r="O81" s="143"/>
    </row>
    <row r="82" spans="1:15" ht="24" customHeight="1" x14ac:dyDescent="0.4">
      <c r="A82" s="149" t="s">
        <v>222</v>
      </c>
      <c r="B82" s="145">
        <f>M82</f>
        <v>31.559999999999995</v>
      </c>
      <c r="C82" s="132" t="s">
        <v>96</v>
      </c>
      <c r="D82" s="77" t="s">
        <v>156</v>
      </c>
      <c r="E82" s="68">
        <v>-28</v>
      </c>
      <c r="F82" s="72">
        <v>-43.3</v>
      </c>
      <c r="G82" s="74">
        <v>-35.299999999999997</v>
      </c>
      <c r="H82" s="72">
        <v>-28.1</v>
      </c>
      <c r="I82" s="68">
        <v>-26</v>
      </c>
      <c r="J82" s="74">
        <v>-4.5999999999999996</v>
      </c>
      <c r="K82" s="72">
        <v>-52.3</v>
      </c>
      <c r="L82" s="122">
        <v>-3.5</v>
      </c>
      <c r="M82" s="118">
        <f xml:space="preserve"> E$1 * (-E82) + F$1 * (-F82) + G$1 * (-G82) + H$1 * (-H82) + I$1 * (-I82) + J$1 * (-J82) + K$1 * (-K82) + L$1 * (-L82)</f>
        <v>31.559999999999995</v>
      </c>
      <c r="N82" s="113"/>
      <c r="O82" s="143"/>
    </row>
    <row r="83" spans="1:15" ht="24" customHeight="1" x14ac:dyDescent="0.4">
      <c r="A83" s="149"/>
      <c r="B83" s="145">
        <f>M83</f>
        <v>31.556000000000001</v>
      </c>
      <c r="C83" s="142" t="s">
        <v>236</v>
      </c>
      <c r="D83" s="77" t="s">
        <v>237</v>
      </c>
      <c r="E83" s="68">
        <v>-27.8</v>
      </c>
      <c r="F83" s="72">
        <v>-43.7</v>
      </c>
      <c r="G83" s="74">
        <v>-35.299999999999997</v>
      </c>
      <c r="H83" s="72">
        <v>-28.2</v>
      </c>
      <c r="I83" s="68">
        <v>-25.8</v>
      </c>
      <c r="J83" s="74">
        <v>-4.5999999999999996</v>
      </c>
      <c r="K83" s="72">
        <v>-52.3</v>
      </c>
      <c r="L83" s="122">
        <v>-3.1</v>
      </c>
      <c r="M83" s="118">
        <f xml:space="preserve"> E$1 * (-E83) + F$1 * (-F83) + G$1 * (-G83) + H$1 * (-H83) + I$1 * (-I83) + J$1 * (-J83) + K$1 * (-K83) + L$1 * (-L83)</f>
        <v>31.556000000000001</v>
      </c>
      <c r="N83" s="113" t="s">
        <v>238</v>
      </c>
      <c r="O83" s="143"/>
    </row>
    <row r="84" spans="1:15" ht="24" customHeight="1" x14ac:dyDescent="0.4">
      <c r="A84" s="149"/>
      <c r="B84" s="145">
        <f>M84</f>
        <v>31.474999999999998</v>
      </c>
      <c r="C84" s="128" t="s">
        <v>193</v>
      </c>
      <c r="D84" s="77">
        <v>9120</v>
      </c>
      <c r="E84" s="68">
        <v>-24.8</v>
      </c>
      <c r="F84" s="72">
        <v>-46.3</v>
      </c>
      <c r="G84" s="74">
        <v>-35.200000000000003</v>
      </c>
      <c r="H84" s="72">
        <v>-37.6</v>
      </c>
      <c r="I84" s="68">
        <v>-22.7</v>
      </c>
      <c r="J84" s="74">
        <v>2.5</v>
      </c>
      <c r="K84" s="72">
        <v>-55</v>
      </c>
      <c r="L84" s="122">
        <v>-2.7</v>
      </c>
      <c r="M84" s="118">
        <f xml:space="preserve"> E$1 * (-E84) + F$1 * (-F84) + G$1 * (-G84) + H$1 * (-H84) + I$1 * (-I84) + J$1 * (-J84) + K$1 * (-K84) + L$1 * (-L84)</f>
        <v>31.474999999999998</v>
      </c>
      <c r="N84" s="113"/>
      <c r="O84" s="143"/>
    </row>
    <row r="85" spans="1:15" ht="24" customHeight="1" x14ac:dyDescent="0.4">
      <c r="A85" s="149" t="s">
        <v>222</v>
      </c>
      <c r="B85" s="145">
        <f>M85</f>
        <v>30.749000000000002</v>
      </c>
      <c r="C85" s="129" t="s">
        <v>173</v>
      </c>
      <c r="D85" s="77">
        <v>9120</v>
      </c>
      <c r="E85" s="68">
        <v>-25.5</v>
      </c>
      <c r="F85" s="72">
        <v>-42.4</v>
      </c>
      <c r="G85" s="74">
        <v>-37</v>
      </c>
      <c r="H85" s="72">
        <v>-34.6</v>
      </c>
      <c r="I85" s="68">
        <v>-23.3</v>
      </c>
      <c r="J85" s="74">
        <v>3.4</v>
      </c>
      <c r="K85" s="72">
        <v>-51.2</v>
      </c>
      <c r="L85" s="122">
        <v>-4</v>
      </c>
      <c r="M85" s="118">
        <f xml:space="preserve"> E$1 * (-E85) + F$1 * (-F85) + G$1 * (-G85) + H$1 * (-H85) + I$1 * (-I85) + J$1 * (-J85) + K$1 * (-K85) + L$1 * (-L85)</f>
        <v>30.749000000000002</v>
      </c>
      <c r="N85" s="113"/>
      <c r="O85" s="143"/>
    </row>
    <row r="86" spans="1:15" ht="24" customHeight="1" x14ac:dyDescent="0.4">
      <c r="A86" s="149"/>
      <c r="B86" s="145">
        <f>M86</f>
        <v>30.484999999999999</v>
      </c>
      <c r="C86" s="129" t="s">
        <v>175</v>
      </c>
      <c r="D86" s="77">
        <v>9120</v>
      </c>
      <c r="E86" s="68">
        <v>-27</v>
      </c>
      <c r="F86" s="72">
        <v>-40.200000000000003</v>
      </c>
      <c r="G86" s="74">
        <v>-35.6</v>
      </c>
      <c r="H86" s="72">
        <v>-33.1</v>
      </c>
      <c r="I86" s="68">
        <v>-25.1</v>
      </c>
      <c r="J86" s="74">
        <v>5.7</v>
      </c>
      <c r="K86" s="72">
        <v>-49</v>
      </c>
      <c r="L86" s="122">
        <v>-8.6</v>
      </c>
      <c r="M86" s="118">
        <f xml:space="preserve"> E$1 * (-E86) + F$1 * (-F86) + G$1 * (-G86) + H$1 * (-H86) + I$1 * (-I86) + J$1 * (-J86) + K$1 * (-K86) + L$1 * (-L86)</f>
        <v>30.484999999999999</v>
      </c>
      <c r="N86" s="113" t="s">
        <v>192</v>
      </c>
      <c r="O86" s="143"/>
    </row>
    <row r="87" spans="1:15" ht="24" customHeight="1" x14ac:dyDescent="0.4">
      <c r="A87" s="149" t="s">
        <v>222</v>
      </c>
      <c r="B87" s="145">
        <f>M87</f>
        <v>30.017000000000007</v>
      </c>
      <c r="C87" s="132" t="s">
        <v>89</v>
      </c>
      <c r="D87" s="77">
        <v>6190</v>
      </c>
      <c r="E87" s="68">
        <v>-26.1</v>
      </c>
      <c r="F87" s="72">
        <v>-39.9</v>
      </c>
      <c r="G87" s="74">
        <v>-37.5</v>
      </c>
      <c r="H87" s="72">
        <v>-28.5</v>
      </c>
      <c r="I87" s="68">
        <v>-24</v>
      </c>
      <c r="J87" s="74">
        <v>-1</v>
      </c>
      <c r="K87" s="72">
        <v>-48.5</v>
      </c>
      <c r="L87" s="122">
        <v>-1.6</v>
      </c>
      <c r="M87" s="118">
        <f xml:space="preserve"> E$1 * (-E87) + F$1 * (-F87) + G$1 * (-G87) + H$1 * (-H87) + I$1 * (-I87) + J$1 * (-J87) + K$1 * (-K87) + L$1 * (-L87)</f>
        <v>30.017000000000007</v>
      </c>
      <c r="N87" s="113"/>
      <c r="O87" s="143"/>
    </row>
    <row r="88" spans="1:15" ht="24" customHeight="1" x14ac:dyDescent="0.4">
      <c r="A88" s="149" t="s">
        <v>222</v>
      </c>
      <c r="B88" s="145">
        <f>M88</f>
        <v>29.983000000000001</v>
      </c>
      <c r="C88" s="132" t="s">
        <v>74</v>
      </c>
      <c r="D88" s="77">
        <v>6190</v>
      </c>
      <c r="E88" s="68">
        <v>-26.3</v>
      </c>
      <c r="F88" s="72">
        <v>-40.799999999999997</v>
      </c>
      <c r="G88" s="74">
        <v>-34.5</v>
      </c>
      <c r="H88" s="72">
        <v>-29.7</v>
      </c>
      <c r="I88" s="68">
        <v>-23.4</v>
      </c>
      <c r="J88" s="74">
        <v>-0.7</v>
      </c>
      <c r="K88" s="72">
        <v>-49.6</v>
      </c>
      <c r="L88" s="122">
        <v>-4.3</v>
      </c>
      <c r="M88" s="118">
        <f xml:space="preserve"> E$1 * (-E88) + F$1 * (-F88) + G$1 * (-G88) + H$1 * (-H88) + I$1 * (-I88) + J$1 * (-J88) + K$1 * (-K88) + L$1 * (-L88)</f>
        <v>29.983000000000001</v>
      </c>
      <c r="N88" s="113"/>
      <c r="O88" s="143"/>
    </row>
    <row r="89" spans="1:15" ht="24" customHeight="1" x14ac:dyDescent="0.4">
      <c r="A89" s="149"/>
      <c r="B89" s="145">
        <f>M89</f>
        <v>29.749000000000002</v>
      </c>
      <c r="C89" s="132" t="s">
        <v>74</v>
      </c>
      <c r="D89" s="77">
        <v>9120</v>
      </c>
      <c r="E89" s="68">
        <v>-26.3</v>
      </c>
      <c r="F89" s="72">
        <v>-40.6</v>
      </c>
      <c r="G89" s="74">
        <v>-34.5</v>
      </c>
      <c r="H89" s="72">
        <v>-28.1</v>
      </c>
      <c r="I89" s="68">
        <v>-23.1</v>
      </c>
      <c r="J89" s="74">
        <v>-0.7</v>
      </c>
      <c r="K89" s="72">
        <v>-49.6</v>
      </c>
      <c r="L89" s="122">
        <v>-3.8</v>
      </c>
      <c r="M89" s="118">
        <f xml:space="preserve"> E$1 * (-E89) + F$1 * (-F89) + G$1 * (-G89) + H$1 * (-H89) + I$1 * (-I89) + J$1 * (-J89) + K$1 * (-K89) + L$1 * (-L89)</f>
        <v>29.749000000000002</v>
      </c>
      <c r="N89" s="113"/>
      <c r="O89" s="143"/>
    </row>
    <row r="90" spans="1:15" ht="24" customHeight="1" x14ac:dyDescent="0.4">
      <c r="A90" s="149"/>
      <c r="B90" s="145">
        <f>M90</f>
        <v>29.742000000000001</v>
      </c>
      <c r="C90" s="128" t="s">
        <v>171</v>
      </c>
      <c r="D90" s="77">
        <v>6190</v>
      </c>
      <c r="E90" s="68">
        <v>-25.9</v>
      </c>
      <c r="F90" s="72">
        <v>-41.9</v>
      </c>
      <c r="G90" s="74">
        <v>-33.1</v>
      </c>
      <c r="H90" s="72">
        <v>-29.4</v>
      </c>
      <c r="I90" s="68">
        <v>-23.5</v>
      </c>
      <c r="J90" s="74">
        <v>0.4</v>
      </c>
      <c r="K90" s="72">
        <v>-49.6</v>
      </c>
      <c r="L90" s="122">
        <v>-2.6</v>
      </c>
      <c r="M90" s="118">
        <f xml:space="preserve"> E$1 * (-E90) + F$1 * (-F90) + G$1 * (-G90) + H$1 * (-H90) + I$1 * (-I90) + J$1 * (-J90) + K$1 * (-K90) + L$1 * (-L90)</f>
        <v>29.742000000000001</v>
      </c>
      <c r="N90" s="113"/>
      <c r="O90" s="143"/>
    </row>
    <row r="91" spans="1:15" ht="24" customHeight="1" x14ac:dyDescent="0.4">
      <c r="A91" s="149"/>
      <c r="B91" s="145">
        <f>M91</f>
        <v>28.883000000000003</v>
      </c>
      <c r="C91" s="132" t="s">
        <v>89</v>
      </c>
      <c r="D91" s="77">
        <v>9120</v>
      </c>
      <c r="E91" s="68">
        <v>-24.9</v>
      </c>
      <c r="F91" s="72">
        <v>-37.4</v>
      </c>
      <c r="G91" s="74">
        <v>-37.5</v>
      </c>
      <c r="H91" s="72">
        <v>-28</v>
      </c>
      <c r="I91" s="68">
        <v>-22.3</v>
      </c>
      <c r="J91" s="74">
        <v>-1</v>
      </c>
      <c r="K91" s="72">
        <v>-48.5</v>
      </c>
      <c r="L91" s="122">
        <v>-0.2</v>
      </c>
      <c r="M91" s="118">
        <f xml:space="preserve"> E$1 * (-E91) + F$1 * (-F91) + G$1 * (-G91) + H$1 * (-H91) + I$1 * (-I91) + J$1 * (-J91) + K$1 * (-K91) + L$1 * (-L91)</f>
        <v>28.883000000000003</v>
      </c>
      <c r="N91" s="113"/>
      <c r="O91" s="143"/>
    </row>
    <row r="92" spans="1:15" ht="24" customHeight="1" x14ac:dyDescent="0.4">
      <c r="A92" s="149"/>
      <c r="B92" s="145">
        <f>M92</f>
        <v>28.825999999999997</v>
      </c>
      <c r="C92" s="130" t="s">
        <v>226</v>
      </c>
      <c r="D92" s="77">
        <v>9120</v>
      </c>
      <c r="E92" s="68">
        <v>-22.8</v>
      </c>
      <c r="F92" s="72">
        <v>-47</v>
      </c>
      <c r="G92" s="74">
        <v>-31.1</v>
      </c>
      <c r="H92" s="72">
        <v>-28</v>
      </c>
      <c r="I92" s="68">
        <v>-18.7</v>
      </c>
      <c r="J92" s="74">
        <v>3.1</v>
      </c>
      <c r="K92" s="72">
        <v>-53</v>
      </c>
      <c r="L92" s="122">
        <v>0.5</v>
      </c>
      <c r="M92" s="118">
        <f xml:space="preserve"> E$1 * (-E92) + F$1 * (-F92) + G$1 * (-G92) + H$1 * (-H92) + I$1 * (-I92) + J$1 * (-J92) + K$1 * (-K92) + L$1 * (-L92)</f>
        <v>28.825999999999997</v>
      </c>
      <c r="N92" s="113"/>
      <c r="O92" s="143"/>
    </row>
    <row r="93" spans="1:15" ht="24" customHeight="1" x14ac:dyDescent="0.4">
      <c r="A93" s="149" t="s">
        <v>222</v>
      </c>
      <c r="B93" s="145">
        <f>M93</f>
        <v>28.699000000000002</v>
      </c>
      <c r="C93" s="128" t="s">
        <v>171</v>
      </c>
      <c r="D93" s="77">
        <v>9120</v>
      </c>
      <c r="E93" s="68">
        <v>-24.6</v>
      </c>
      <c r="F93" s="72">
        <v>-40.5</v>
      </c>
      <c r="G93" s="74">
        <v>-33.1</v>
      </c>
      <c r="H93" s="72">
        <v>-28.1</v>
      </c>
      <c r="I93" s="68">
        <v>-21.7</v>
      </c>
      <c r="J93" s="74">
        <v>0.4</v>
      </c>
      <c r="K93" s="72">
        <v>-49.6</v>
      </c>
      <c r="L93" s="122">
        <v>-0.9</v>
      </c>
      <c r="M93" s="118">
        <f xml:space="preserve"> E$1 * (-E93) + F$1 * (-F93) + G$1 * (-G93) + H$1 * (-H93) + I$1 * (-I93) + J$1 * (-J93) + K$1 * (-K93) + L$1 * (-L93)</f>
        <v>28.699000000000002</v>
      </c>
      <c r="N93" s="113"/>
      <c r="O93" s="143"/>
    </row>
    <row r="94" spans="1:15" ht="24" customHeight="1" x14ac:dyDescent="0.4">
      <c r="A94" s="149" t="s">
        <v>222</v>
      </c>
      <c r="B94" s="145">
        <f>M94</f>
        <v>28.425999999999995</v>
      </c>
      <c r="C94" s="128" t="s">
        <v>147</v>
      </c>
      <c r="D94" s="77" t="s">
        <v>146</v>
      </c>
      <c r="E94" s="68">
        <v>-24</v>
      </c>
      <c r="F94" s="72">
        <v>-38.799999999999997</v>
      </c>
      <c r="G94" s="74">
        <v>-33</v>
      </c>
      <c r="H94" s="72">
        <v>-28.5</v>
      </c>
      <c r="I94" s="68">
        <v>-21.3</v>
      </c>
      <c r="J94" s="74">
        <v>-0.4</v>
      </c>
      <c r="K94" s="72">
        <v>-54.4</v>
      </c>
      <c r="L94" s="122">
        <v>-1.1000000000000001</v>
      </c>
      <c r="M94" s="118">
        <f xml:space="preserve"> E$1 * (-E94) + F$1 * (-F94) + G$1 * (-G94) + H$1 * (-H94) + I$1 * (-I94) + J$1 * (-J94) + K$1 * (-K94) + L$1 * (-L94)</f>
        <v>28.425999999999995</v>
      </c>
      <c r="N94" s="113"/>
      <c r="O94" s="143"/>
    </row>
    <row r="95" spans="1:15" ht="24" customHeight="1" x14ac:dyDescent="0.4">
      <c r="A95" s="149" t="s">
        <v>222</v>
      </c>
      <c r="B95" s="145">
        <f>M95</f>
        <v>27.667999999999999</v>
      </c>
      <c r="C95" s="132" t="s">
        <v>145</v>
      </c>
      <c r="D95" s="77" t="s">
        <v>146</v>
      </c>
      <c r="E95" s="68">
        <v>-23.4</v>
      </c>
      <c r="F95" s="72">
        <v>-39.299999999999997</v>
      </c>
      <c r="G95" s="74">
        <v>-27.6</v>
      </c>
      <c r="H95" s="72">
        <v>-31.8</v>
      </c>
      <c r="I95" s="68">
        <v>-21.9</v>
      </c>
      <c r="J95" s="74">
        <v>-3.8</v>
      </c>
      <c r="K95" s="72">
        <v>-44.2</v>
      </c>
      <c r="L95" s="122">
        <v>-7.3</v>
      </c>
      <c r="M95" s="118">
        <f xml:space="preserve"> E$1 * (-E95) + F$1 * (-F95) + G$1 * (-G95) + H$1 * (-H95) + I$1 * (-I95) + J$1 * (-J95) + K$1 * (-K95) + L$1 * (-L95)</f>
        <v>27.667999999999999</v>
      </c>
      <c r="N95" s="113"/>
      <c r="O95" s="143"/>
    </row>
    <row r="96" spans="1:15" ht="24" customHeight="1" x14ac:dyDescent="0.4">
      <c r="A96" s="149"/>
      <c r="B96" s="145">
        <f>M96</f>
        <v>27.293999999999997</v>
      </c>
      <c r="C96" s="128" t="s">
        <v>97</v>
      </c>
      <c r="D96" s="77">
        <v>9120</v>
      </c>
      <c r="E96" s="68">
        <v>-22.8</v>
      </c>
      <c r="F96" s="72">
        <v>-36.5</v>
      </c>
      <c r="G96" s="74">
        <v>-33</v>
      </c>
      <c r="H96" s="72">
        <v>-27.4</v>
      </c>
      <c r="I96" s="68">
        <v>-19.899999999999999</v>
      </c>
      <c r="J96" s="74">
        <v>-0.4</v>
      </c>
      <c r="K96" s="72">
        <v>-54.4</v>
      </c>
      <c r="L96" s="122">
        <v>0.4</v>
      </c>
      <c r="M96" s="118">
        <f xml:space="preserve"> E$1 * (-E96) + F$1 * (-F96) + G$1 * (-G96) + H$1 * (-H96) + I$1 * (-I96) + J$1 * (-J96) + K$1 * (-K96) + L$1 * (-L96)</f>
        <v>27.293999999999997</v>
      </c>
      <c r="N96" s="113"/>
      <c r="O96" s="143"/>
    </row>
    <row r="97" spans="1:15" ht="24" customHeight="1" x14ac:dyDescent="0.4">
      <c r="A97" s="149" t="s">
        <v>222</v>
      </c>
      <c r="B97" s="145">
        <f>M97</f>
        <v>26.467000000000002</v>
      </c>
      <c r="C97" s="132" t="s">
        <v>195</v>
      </c>
      <c r="D97" s="77">
        <v>6190</v>
      </c>
      <c r="E97" s="68">
        <v>-23.5</v>
      </c>
      <c r="F97" s="72">
        <v>-36.700000000000003</v>
      </c>
      <c r="G97" s="74">
        <v>-28.1</v>
      </c>
      <c r="H97" s="72">
        <v>-27.3</v>
      </c>
      <c r="I97" s="68">
        <v>-21.4</v>
      </c>
      <c r="J97" s="74">
        <v>-0.4</v>
      </c>
      <c r="K97" s="72">
        <v>-44.5</v>
      </c>
      <c r="L97" s="122">
        <v>0</v>
      </c>
      <c r="M97" s="118">
        <f xml:space="preserve"> E$1 * (-E97) + F$1 * (-F97) + G$1 * (-G97) + H$1 * (-H97) + I$1 * (-I97) + J$1 * (-J97) + K$1 * (-K97) + L$1 * (-L97)</f>
        <v>26.467000000000002</v>
      </c>
      <c r="N97" s="113" t="s">
        <v>189</v>
      </c>
      <c r="O97" s="143"/>
    </row>
    <row r="98" spans="1:15" ht="24" customHeight="1" x14ac:dyDescent="0.4">
      <c r="A98" s="149" t="s">
        <v>222</v>
      </c>
      <c r="B98" s="145">
        <f>M98</f>
        <v>25.555</v>
      </c>
      <c r="C98" s="131" t="s">
        <v>99</v>
      </c>
      <c r="D98" s="77">
        <v>9120</v>
      </c>
      <c r="E98" s="68">
        <v>-21.3</v>
      </c>
      <c r="F98" s="72">
        <v>-37.9</v>
      </c>
      <c r="G98" s="74">
        <v>-30.5</v>
      </c>
      <c r="H98" s="72">
        <v>-25</v>
      </c>
      <c r="I98" s="68">
        <v>-18.8</v>
      </c>
      <c r="J98" s="74">
        <v>5</v>
      </c>
      <c r="K98" s="72">
        <v>-43.9</v>
      </c>
      <c r="L98" s="122">
        <v>0.2</v>
      </c>
      <c r="M98" s="118">
        <f xml:space="preserve"> E$1 * (-E98) + F$1 * (-F98) + G$1 * (-G98) + H$1 * (-H98) + I$1 * (-I98) + J$1 * (-J98) + K$1 * (-K98) + L$1 * (-L98)</f>
        <v>25.555</v>
      </c>
      <c r="N98" s="113"/>
      <c r="O98" s="143"/>
    </row>
    <row r="99" spans="1:15" ht="24" customHeight="1" x14ac:dyDescent="0.4">
      <c r="A99" s="149" t="s">
        <v>222</v>
      </c>
      <c r="B99" s="145">
        <f>M99</f>
        <v>25.204999999999998</v>
      </c>
      <c r="C99" s="131" t="s">
        <v>148</v>
      </c>
      <c r="D99" s="77">
        <v>6190</v>
      </c>
      <c r="E99" s="68">
        <v>-21.7</v>
      </c>
      <c r="F99" s="72">
        <v>-34.9</v>
      </c>
      <c r="G99" s="74">
        <v>-30.5</v>
      </c>
      <c r="H99" s="72">
        <v>-24.9</v>
      </c>
      <c r="I99" s="68">
        <v>-19.899999999999999</v>
      </c>
      <c r="J99" s="74">
        <v>5</v>
      </c>
      <c r="K99" s="72">
        <v>-43.9</v>
      </c>
      <c r="L99" s="122">
        <v>-1.4</v>
      </c>
      <c r="M99" s="118">
        <f xml:space="preserve"> E$1 * (-E99) + F$1 * (-F99) + G$1 * (-G99) + H$1 * (-H99) + I$1 * (-I99) + J$1 * (-J99) + K$1 * (-K99) + L$1 * (-L99)</f>
        <v>25.204999999999998</v>
      </c>
      <c r="N99" s="113"/>
      <c r="O99" s="143"/>
    </row>
    <row r="100" spans="1:15" ht="24" customHeight="1" x14ac:dyDescent="0.4">
      <c r="A100" s="149" t="s">
        <v>222</v>
      </c>
      <c r="B100" s="145">
        <f>M100</f>
        <v>25.062000000000005</v>
      </c>
      <c r="C100" s="132" t="s">
        <v>101</v>
      </c>
      <c r="D100" s="77">
        <v>9120</v>
      </c>
      <c r="E100" s="68">
        <v>-21.6</v>
      </c>
      <c r="F100" s="72">
        <v>-35.200000000000003</v>
      </c>
      <c r="G100" s="74">
        <v>-28.1</v>
      </c>
      <c r="H100" s="72">
        <v>-24.6</v>
      </c>
      <c r="I100" s="68">
        <v>-19.600000000000001</v>
      </c>
      <c r="J100" s="74">
        <v>-0.4</v>
      </c>
      <c r="K100" s="72">
        <v>-44.5</v>
      </c>
      <c r="L100" s="122">
        <v>1.3</v>
      </c>
      <c r="M100" s="118">
        <f xml:space="preserve"> E$1 * (-E100) + F$1 * (-F100) + G$1 * (-G100) + H$1 * (-H100) + I$1 * (-I100) + J$1 * (-J100) + K$1 * (-K100) + L$1 * (-L100)</f>
        <v>25.062000000000005</v>
      </c>
      <c r="N100" s="113"/>
      <c r="O100" s="143"/>
    </row>
    <row r="101" spans="1:15" ht="24" customHeight="1" x14ac:dyDescent="0.4">
      <c r="A101" s="149"/>
      <c r="B101" s="145">
        <f>M101</f>
        <v>25.059000000000001</v>
      </c>
      <c r="C101" s="128" t="s">
        <v>170</v>
      </c>
      <c r="D101" s="77">
        <v>6190</v>
      </c>
      <c r="E101" s="68">
        <v>-17.399999999999999</v>
      </c>
      <c r="F101" s="72">
        <v>-38.799999999999997</v>
      </c>
      <c r="G101" s="74">
        <v>-30.7</v>
      </c>
      <c r="H101" s="72">
        <v>-29.6</v>
      </c>
      <c r="I101" s="68">
        <v>-16.399999999999999</v>
      </c>
      <c r="J101" s="74">
        <v>4.0999999999999996</v>
      </c>
      <c r="K101" s="72">
        <v>-51.1</v>
      </c>
      <c r="L101" s="122">
        <v>0.9</v>
      </c>
      <c r="M101" s="118">
        <f xml:space="preserve"> E$1 * (-E101) + F$1 * (-F101) + G$1 * (-G101) + H$1 * (-H101) + I$1 * (-I101) + J$1 * (-J101) + K$1 * (-K101) + L$1 * (-L101)</f>
        <v>25.059000000000001</v>
      </c>
      <c r="N101" s="113"/>
      <c r="O101" s="143"/>
    </row>
    <row r="102" spans="1:15" ht="24" customHeight="1" x14ac:dyDescent="0.4">
      <c r="A102" s="149"/>
      <c r="B102" s="145">
        <f>M102</f>
        <v>24.911000000000001</v>
      </c>
      <c r="C102" s="128" t="s">
        <v>179</v>
      </c>
      <c r="D102" s="77">
        <v>6190</v>
      </c>
      <c r="E102" s="68">
        <v>-18.8</v>
      </c>
      <c r="F102" s="72">
        <v>-37</v>
      </c>
      <c r="G102" s="74">
        <v>-29.9</v>
      </c>
      <c r="H102" s="72">
        <v>-27</v>
      </c>
      <c r="I102" s="68">
        <v>-17.2</v>
      </c>
      <c r="J102" s="74">
        <v>2.2999999999999998</v>
      </c>
      <c r="K102" s="72">
        <v>-49.7</v>
      </c>
      <c r="L102" s="122">
        <v>0</v>
      </c>
      <c r="M102" s="118">
        <f xml:space="preserve"> E$1 * (-E102) + F$1 * (-F102) + G$1 * (-G102) + H$1 * (-H102) + I$1 * (-I102) + J$1 * (-J102) + K$1 * (-K102) + L$1 * (-L102)</f>
        <v>24.911000000000001</v>
      </c>
      <c r="N102" s="113"/>
      <c r="O102" s="143"/>
    </row>
    <row r="103" spans="1:15" ht="24" customHeight="1" x14ac:dyDescent="0.4">
      <c r="A103" s="149"/>
      <c r="B103" s="145">
        <f>M103</f>
        <v>24.681999999999999</v>
      </c>
      <c r="C103" s="129" t="s">
        <v>198</v>
      </c>
      <c r="D103" s="77">
        <v>9120</v>
      </c>
      <c r="E103" s="68">
        <v>-15</v>
      </c>
      <c r="F103" s="72">
        <v>-39.799999999999997</v>
      </c>
      <c r="G103" s="74">
        <v>-33.5</v>
      </c>
      <c r="H103" s="72">
        <v>-31.3</v>
      </c>
      <c r="I103" s="68">
        <v>-13.2</v>
      </c>
      <c r="J103" s="74">
        <v>10.9</v>
      </c>
      <c r="K103" s="72">
        <v>-56.2</v>
      </c>
      <c r="L103" s="122">
        <v>0.2</v>
      </c>
      <c r="M103" s="118">
        <f xml:space="preserve"> E$1 * (-E103) + F$1 * (-F103) + G$1 * (-G103) + H$1 * (-H103) + I$1 * (-I103) + J$1 * (-J103) + K$1 * (-K103) + L$1 * (-L103)</f>
        <v>24.681999999999999</v>
      </c>
      <c r="N103" s="113"/>
      <c r="O103" s="143"/>
    </row>
    <row r="104" spans="1:15" ht="24" customHeight="1" x14ac:dyDescent="0.4">
      <c r="A104" s="149" t="s">
        <v>222</v>
      </c>
      <c r="B104" s="145">
        <f>M104</f>
        <v>24.633000000000003</v>
      </c>
      <c r="C104" s="128" t="s">
        <v>170</v>
      </c>
      <c r="D104" s="77">
        <v>9120</v>
      </c>
      <c r="E104" s="68">
        <v>-17</v>
      </c>
      <c r="F104" s="72">
        <v>-38.1</v>
      </c>
      <c r="G104" s="74">
        <v>-30.7</v>
      </c>
      <c r="H104" s="72">
        <v>-29.4</v>
      </c>
      <c r="I104" s="68">
        <v>-15.1</v>
      </c>
      <c r="J104" s="74">
        <v>4.0999999999999996</v>
      </c>
      <c r="K104" s="72">
        <v>-51.1</v>
      </c>
      <c r="L104" s="122">
        <v>2</v>
      </c>
      <c r="M104" s="118">
        <f xml:space="preserve"> E$1 * (-E104) + F$1 * (-F104) + G$1 * (-G104) + H$1 * (-H104) + I$1 * (-I104) + J$1 * (-J104) + K$1 * (-K104) + L$1 * (-L104)</f>
        <v>24.633000000000003</v>
      </c>
      <c r="N104" s="113"/>
      <c r="O104" s="143"/>
    </row>
    <row r="105" spans="1:15" ht="24" customHeight="1" x14ac:dyDescent="0.4">
      <c r="A105" s="149"/>
      <c r="B105" s="145">
        <f>M105</f>
        <v>24.401000000000003</v>
      </c>
      <c r="C105" s="132" t="s">
        <v>227</v>
      </c>
      <c r="D105" s="77">
        <v>9120</v>
      </c>
      <c r="E105" s="68">
        <v>-20.8</v>
      </c>
      <c r="F105" s="72">
        <v>-36.200000000000003</v>
      </c>
      <c r="G105" s="74">
        <v>-28.3</v>
      </c>
      <c r="H105" s="72">
        <v>-21.7</v>
      </c>
      <c r="I105" s="68">
        <v>-18.3</v>
      </c>
      <c r="J105" s="74">
        <v>2.2999999999999998</v>
      </c>
      <c r="K105" s="72">
        <v>-43.1</v>
      </c>
      <c r="L105" s="122">
        <v>1.9</v>
      </c>
      <c r="M105" s="118">
        <f xml:space="preserve"> E$1 * (-E105) + F$1 * (-F105) + G$1 * (-G105) + H$1 * (-H105) + I$1 * (-I105) + J$1 * (-J105) + K$1 * (-K105) + L$1 * (-L105)</f>
        <v>24.401000000000003</v>
      </c>
      <c r="N105" s="113"/>
      <c r="O105" s="143"/>
    </row>
    <row r="106" spans="1:15" ht="24" customHeight="1" x14ac:dyDescent="0.4">
      <c r="A106" s="149"/>
      <c r="B106" s="145">
        <f>M106</f>
        <v>24.397000000000002</v>
      </c>
      <c r="C106" s="132" t="s">
        <v>227</v>
      </c>
      <c r="D106" s="77" t="s">
        <v>224</v>
      </c>
      <c r="E106" s="68">
        <v>-20.6</v>
      </c>
      <c r="F106" s="72">
        <v>-36.5</v>
      </c>
      <c r="G106" s="74">
        <v>-28.3</v>
      </c>
      <c r="H106" s="72">
        <v>-21.8</v>
      </c>
      <c r="I106" s="68">
        <v>-18.3</v>
      </c>
      <c r="J106" s="74">
        <v>2.2999999999999998</v>
      </c>
      <c r="K106" s="72">
        <v>-43.1</v>
      </c>
      <c r="L106" s="122">
        <v>2.1</v>
      </c>
      <c r="M106" s="118">
        <f xml:space="preserve"> E$1 * (-E106) + F$1 * (-F106) + G$1 * (-G106) + H$1 * (-H106) + I$1 * (-I106) + J$1 * (-J106) + K$1 * (-K106) + L$1 * (-L106)</f>
        <v>24.397000000000002</v>
      </c>
      <c r="N106" s="113"/>
      <c r="O106" s="143"/>
    </row>
    <row r="107" spans="1:15" ht="24" customHeight="1" x14ac:dyDescent="0.4">
      <c r="A107" s="149"/>
      <c r="B107" s="145">
        <f>M107</f>
        <v>24.227</v>
      </c>
      <c r="C107" s="128" t="s">
        <v>168</v>
      </c>
      <c r="D107" s="77">
        <v>6190</v>
      </c>
      <c r="E107" s="68">
        <v>-16</v>
      </c>
      <c r="F107" s="72">
        <v>-38.1</v>
      </c>
      <c r="G107" s="74">
        <v>-29.7</v>
      </c>
      <c r="H107" s="72">
        <v>-30.2</v>
      </c>
      <c r="I107" s="68">
        <v>-15.1</v>
      </c>
      <c r="J107" s="74">
        <v>6</v>
      </c>
      <c r="K107" s="72">
        <v>-52.8</v>
      </c>
      <c r="L107" s="122">
        <v>0.8</v>
      </c>
      <c r="M107" s="118">
        <f xml:space="preserve"> E$1 * (-E107) + F$1 * (-F107) + G$1 * (-G107) + H$1 * (-H107) + I$1 * (-I107) + J$1 * (-J107) + K$1 * (-K107) + L$1 * (-L107)</f>
        <v>24.227</v>
      </c>
      <c r="N107" s="113"/>
      <c r="O107" s="143"/>
    </row>
    <row r="108" spans="1:15" ht="24" customHeight="1" x14ac:dyDescent="0.4">
      <c r="A108" s="149" t="s">
        <v>222</v>
      </c>
      <c r="B108" s="145">
        <f>M108</f>
        <v>23.795000000000005</v>
      </c>
      <c r="C108" s="128" t="s">
        <v>98</v>
      </c>
      <c r="D108" s="77">
        <v>9120</v>
      </c>
      <c r="E108" s="68">
        <v>-17.600000000000001</v>
      </c>
      <c r="F108" s="72">
        <v>-34.700000000000003</v>
      </c>
      <c r="G108" s="74">
        <v>-29.9</v>
      </c>
      <c r="H108" s="72">
        <v>-26.2</v>
      </c>
      <c r="I108" s="68">
        <v>-15.6</v>
      </c>
      <c r="J108" s="74">
        <v>2.2999999999999998</v>
      </c>
      <c r="K108" s="72">
        <v>-49.7</v>
      </c>
      <c r="L108" s="122">
        <v>1.4</v>
      </c>
      <c r="M108" s="118">
        <f xml:space="preserve"> E$1 * (-E108) + F$1 * (-F108) + G$1 * (-G108) + H$1 * (-H108) + I$1 * (-I108) + J$1 * (-J108) + K$1 * (-K108) + L$1 * (-L108)</f>
        <v>23.795000000000005</v>
      </c>
      <c r="N108" s="113"/>
      <c r="O108" s="143"/>
    </row>
    <row r="109" spans="1:15" ht="24" customHeight="1" x14ac:dyDescent="0.4">
      <c r="A109" s="149"/>
      <c r="B109" s="145">
        <f>M109</f>
        <v>23.792999999999999</v>
      </c>
      <c r="C109" s="129" t="s">
        <v>223</v>
      </c>
      <c r="D109" s="77" t="s">
        <v>224</v>
      </c>
      <c r="E109" s="68">
        <v>-15.2</v>
      </c>
      <c r="F109" s="72">
        <v>-39.5</v>
      </c>
      <c r="G109" s="74">
        <v>-27.1</v>
      </c>
      <c r="H109" s="72">
        <v>-32.1</v>
      </c>
      <c r="I109" s="68">
        <v>-13.4</v>
      </c>
      <c r="J109" s="74">
        <v>7.2</v>
      </c>
      <c r="K109" s="72">
        <v>-51.4</v>
      </c>
      <c r="L109" s="122">
        <v>-0.8</v>
      </c>
      <c r="M109" s="118">
        <f xml:space="preserve"> E$1 * (-E109) + F$1 * (-F109) + G$1 * (-G109) + H$1 * (-H109) + I$1 * (-I109) + J$1 * (-J109) + K$1 * (-K109) + L$1 * (-L109)</f>
        <v>23.792999999999999</v>
      </c>
      <c r="N109" s="113" t="s">
        <v>228</v>
      </c>
      <c r="O109" s="143"/>
    </row>
    <row r="110" spans="1:15" ht="24" customHeight="1" x14ac:dyDescent="0.4">
      <c r="A110" s="149" t="s">
        <v>222</v>
      </c>
      <c r="B110" s="145">
        <f>M110</f>
        <v>23.583000000000002</v>
      </c>
      <c r="C110" s="128" t="s">
        <v>168</v>
      </c>
      <c r="D110" s="77">
        <v>9120</v>
      </c>
      <c r="E110" s="68">
        <v>-15.6</v>
      </c>
      <c r="F110" s="72">
        <v>-36.4</v>
      </c>
      <c r="G110" s="74">
        <v>-29.7</v>
      </c>
      <c r="H110" s="72">
        <v>-30</v>
      </c>
      <c r="I110" s="68">
        <v>-13.6</v>
      </c>
      <c r="J110" s="74">
        <v>6</v>
      </c>
      <c r="K110" s="72">
        <v>-52.8</v>
      </c>
      <c r="L110" s="122">
        <v>2</v>
      </c>
      <c r="M110" s="118">
        <f xml:space="preserve"> E$1 * (-E110) + F$1 * (-F110) + G$1 * (-G110) + H$1 * (-H110) + I$1 * (-I110) + J$1 * (-J110) + K$1 * (-K110) + L$1 * (-L110)</f>
        <v>23.583000000000002</v>
      </c>
      <c r="N110" s="113"/>
      <c r="O110" s="143"/>
    </row>
    <row r="111" spans="1:15" ht="24" customHeight="1" x14ac:dyDescent="0.4">
      <c r="A111" s="149" t="s">
        <v>222</v>
      </c>
      <c r="B111" s="145">
        <f>M111</f>
        <v>23.117000000000001</v>
      </c>
      <c r="C111" s="129" t="s">
        <v>80</v>
      </c>
      <c r="D111" s="77">
        <v>6190</v>
      </c>
      <c r="E111" s="68">
        <v>-15.8</v>
      </c>
      <c r="F111" s="72">
        <v>-35.1</v>
      </c>
      <c r="G111" s="74">
        <v>-30.1</v>
      </c>
      <c r="H111" s="72">
        <v>-26</v>
      </c>
      <c r="I111" s="68">
        <v>-14.7</v>
      </c>
      <c r="J111" s="74">
        <v>5</v>
      </c>
      <c r="K111" s="72">
        <v>-51.6</v>
      </c>
      <c r="L111" s="122">
        <v>2.7</v>
      </c>
      <c r="M111" s="118">
        <f xml:space="preserve"> E$1 * (-E111) + F$1 * (-F111) + G$1 * (-G111) + H$1 * (-H111) + I$1 * (-I111) + J$1 * (-J111) + K$1 * (-K111) + L$1 * (-L111)</f>
        <v>23.117000000000001</v>
      </c>
      <c r="N111" s="113"/>
      <c r="O111" s="143"/>
    </row>
    <row r="112" spans="1:15" ht="24" customHeight="1" x14ac:dyDescent="0.4">
      <c r="A112" s="149" t="s">
        <v>222</v>
      </c>
      <c r="B112" s="145">
        <f>M112</f>
        <v>22.686000000000003</v>
      </c>
      <c r="C112" s="129" t="s">
        <v>80</v>
      </c>
      <c r="D112" s="77">
        <v>9120</v>
      </c>
      <c r="E112" s="68">
        <v>-14.5</v>
      </c>
      <c r="F112" s="72">
        <v>-35.9</v>
      </c>
      <c r="G112" s="74">
        <v>-30.1</v>
      </c>
      <c r="H112" s="72">
        <v>-26</v>
      </c>
      <c r="I112" s="68">
        <v>-13.3</v>
      </c>
      <c r="J112" s="74">
        <v>5</v>
      </c>
      <c r="K112" s="72">
        <v>-51.6</v>
      </c>
      <c r="L112" s="122">
        <v>3.9</v>
      </c>
      <c r="M112" s="118">
        <f xml:space="preserve"> E$1 * (-E112) + F$1 * (-F112) + G$1 * (-G112) + H$1 * (-H112) + I$1 * (-I112) + J$1 * (-J112) + K$1 * (-K112) + L$1 * (-L112)</f>
        <v>22.686000000000003</v>
      </c>
      <c r="N112" s="113"/>
      <c r="O112" s="143"/>
    </row>
    <row r="113" spans="1:15" ht="24" customHeight="1" x14ac:dyDescent="0.4">
      <c r="A113" s="149" t="s">
        <v>222</v>
      </c>
      <c r="B113" s="145">
        <f>M113</f>
        <v>22.681999999999999</v>
      </c>
      <c r="C113" s="132" t="s">
        <v>68</v>
      </c>
      <c r="D113" s="77">
        <v>6190</v>
      </c>
      <c r="E113" s="68">
        <v>-19.100000000000001</v>
      </c>
      <c r="F113" s="72">
        <v>-33</v>
      </c>
      <c r="G113" s="74">
        <v>-27.5</v>
      </c>
      <c r="H113" s="72">
        <v>-21.6</v>
      </c>
      <c r="I113" s="68">
        <v>-16.600000000000001</v>
      </c>
      <c r="J113" s="74">
        <v>4.2</v>
      </c>
      <c r="K113" s="72">
        <v>-41.4</v>
      </c>
      <c r="L113" s="122">
        <v>3.8</v>
      </c>
      <c r="M113" s="118">
        <f xml:space="preserve"> E$1 * (-E113) + F$1 * (-F113) + G$1 * (-G113) + H$1 * (-H113) + I$1 * (-I113) + J$1 * (-J113) + K$1 * (-K113) + L$1 * (-L113)</f>
        <v>22.681999999999999</v>
      </c>
      <c r="N113" s="113"/>
      <c r="O113" s="143"/>
    </row>
    <row r="114" spans="1:15" ht="24" customHeight="1" x14ac:dyDescent="0.4">
      <c r="A114" s="149" t="s">
        <v>222</v>
      </c>
      <c r="B114" s="145">
        <f>M114</f>
        <v>22.489000000000001</v>
      </c>
      <c r="C114" s="129" t="s">
        <v>174</v>
      </c>
      <c r="D114" s="77">
        <v>9120</v>
      </c>
      <c r="E114" s="68">
        <v>-16.3</v>
      </c>
      <c r="F114" s="72">
        <v>-35.6</v>
      </c>
      <c r="G114" s="74">
        <v>-27</v>
      </c>
      <c r="H114" s="72">
        <v>-25.2</v>
      </c>
      <c r="I114" s="68">
        <v>-14.4</v>
      </c>
      <c r="J114" s="74">
        <v>7.8</v>
      </c>
      <c r="K114" s="72">
        <v>-47.8</v>
      </c>
      <c r="L114" s="122">
        <v>2.9</v>
      </c>
      <c r="M114" s="118">
        <f xml:space="preserve"> E$1 * (-E114) + F$1 * (-F114) + G$1 * (-G114) + H$1 * (-H114) + I$1 * (-I114) + J$1 * (-J114) + K$1 * (-K114) + L$1 * (-L114)</f>
        <v>22.489000000000001</v>
      </c>
      <c r="N114" s="113"/>
      <c r="O114" s="143"/>
    </row>
    <row r="115" spans="1:15" ht="24" customHeight="1" x14ac:dyDescent="0.4">
      <c r="A115" s="149"/>
      <c r="B115" s="145">
        <f>M115</f>
        <v>21.723000000000006</v>
      </c>
      <c r="C115" s="132" t="s">
        <v>66</v>
      </c>
      <c r="D115" s="77">
        <v>6190</v>
      </c>
      <c r="E115" s="68">
        <v>-16</v>
      </c>
      <c r="F115" s="72">
        <v>-35.1</v>
      </c>
      <c r="G115" s="74">
        <v>-25.1</v>
      </c>
      <c r="H115" s="72">
        <v>-23.3</v>
      </c>
      <c r="I115" s="68">
        <v>-14.8</v>
      </c>
      <c r="J115" s="74">
        <v>5.3</v>
      </c>
      <c r="K115" s="72">
        <v>-43.5</v>
      </c>
      <c r="L115" s="122">
        <v>4.3</v>
      </c>
      <c r="M115" s="136">
        <f xml:space="preserve"> E$1 * (-E115) + F$1 * (-F115) + G$1 * (-G115) + H$1 * (-H115) + I$1 * (-I115) + J$1 * (-J115) + K$1 * (-K115) + L$1 * (-L115)</f>
        <v>21.723000000000006</v>
      </c>
      <c r="N115" s="113"/>
      <c r="O115" s="143"/>
    </row>
    <row r="116" spans="1:15" ht="24" customHeight="1" x14ac:dyDescent="0.4">
      <c r="A116" s="149" t="s">
        <v>222</v>
      </c>
      <c r="B116" s="145">
        <f>M116</f>
        <v>21.343000000000004</v>
      </c>
      <c r="C116" s="129" t="s">
        <v>190</v>
      </c>
      <c r="D116" s="77">
        <v>9120</v>
      </c>
      <c r="E116" s="68">
        <v>-12.3</v>
      </c>
      <c r="F116" s="72">
        <v>-37.9</v>
      </c>
      <c r="G116" s="74">
        <v>-29.2</v>
      </c>
      <c r="H116" s="72">
        <v>-25.1</v>
      </c>
      <c r="I116" s="68">
        <v>-11.2</v>
      </c>
      <c r="J116" s="74">
        <v>13.9</v>
      </c>
      <c r="K116" s="72">
        <v>-48.3</v>
      </c>
      <c r="L116" s="122">
        <v>2.4</v>
      </c>
      <c r="M116" s="137">
        <f xml:space="preserve"> E$1 * (-E116) + F$1 * (-F116) + G$1 * (-G116) + H$1 * (-H116) + I$1 * (-I116) + J$1 * (-J116) + K$1 * (-K116) + L$1 * (-L116)</f>
        <v>21.343000000000004</v>
      </c>
      <c r="N116" s="113"/>
      <c r="O116" s="143"/>
    </row>
    <row r="117" spans="1:15" ht="24" customHeight="1" x14ac:dyDescent="0.4">
      <c r="A117" s="149"/>
      <c r="B117" s="147">
        <f>M117</f>
        <v>21.165000000000003</v>
      </c>
      <c r="C117" s="152" t="s">
        <v>66</v>
      </c>
      <c r="D117" s="108">
        <v>9120</v>
      </c>
      <c r="E117" s="109">
        <v>-15.8</v>
      </c>
      <c r="F117" s="110">
        <v>-33.700000000000003</v>
      </c>
      <c r="G117" s="111">
        <v>-25.1</v>
      </c>
      <c r="H117" s="110">
        <v>-22.3</v>
      </c>
      <c r="I117" s="109">
        <v>-13.6</v>
      </c>
      <c r="J117" s="111">
        <v>5.3</v>
      </c>
      <c r="K117" s="110">
        <v>-43.5</v>
      </c>
      <c r="L117" s="123">
        <v>4.9000000000000004</v>
      </c>
      <c r="M117" s="138">
        <f xml:space="preserve"> E$1 * (-E117) + F$1 * (-F117) + G$1 * (-G117) + H$1 * (-H117) + I$1 * (-I117) + J$1 * (-J117) + K$1 * (-K117) + L$1 * (-L117)</f>
        <v>21.165000000000003</v>
      </c>
      <c r="N117" s="113"/>
      <c r="O117" s="143"/>
    </row>
    <row r="118" spans="1:15" ht="24" customHeight="1" x14ac:dyDescent="0.4">
      <c r="A118" s="149" t="s">
        <v>222</v>
      </c>
      <c r="B118" s="146">
        <f>M118</f>
        <v>20.953999999999997</v>
      </c>
      <c r="C118" s="133" t="s">
        <v>68</v>
      </c>
      <c r="D118" s="79">
        <v>9120</v>
      </c>
      <c r="E118" s="71">
        <v>-17.3</v>
      </c>
      <c r="F118" s="80">
        <v>-29.4</v>
      </c>
      <c r="G118" s="81">
        <v>-27.5</v>
      </c>
      <c r="H118" s="80">
        <v>-19.7</v>
      </c>
      <c r="I118" s="71">
        <v>-14.6</v>
      </c>
      <c r="J118" s="81">
        <v>4.2</v>
      </c>
      <c r="K118" s="80">
        <v>-41.4</v>
      </c>
      <c r="L118" s="124">
        <v>5.2</v>
      </c>
      <c r="M118" s="139">
        <f xml:space="preserve"> E$1 * (-E118) + F$1 * (-F118) + G$1 * (-G118) + H$1 * (-H118) + I$1 * (-I118) + J$1 * (-J118) + K$1 * (-K118) + L$1 * (-L118)</f>
        <v>20.953999999999997</v>
      </c>
      <c r="N118" s="113"/>
      <c r="O118" s="143"/>
    </row>
    <row r="119" spans="1:15" ht="24" customHeight="1" x14ac:dyDescent="0.4">
      <c r="A119" s="149"/>
      <c r="B119" s="146">
        <f>M119</f>
        <v>19.346</v>
      </c>
      <c r="C119" s="133" t="s">
        <v>167</v>
      </c>
      <c r="D119" s="79">
        <v>6190</v>
      </c>
      <c r="E119" s="71">
        <v>-15.9</v>
      </c>
      <c r="F119" s="80">
        <v>-29.2</v>
      </c>
      <c r="G119" s="81">
        <v>-22.8</v>
      </c>
      <c r="H119" s="80">
        <v>-20</v>
      </c>
      <c r="I119" s="71">
        <v>-13.5</v>
      </c>
      <c r="J119" s="81">
        <v>5.6</v>
      </c>
      <c r="K119" s="80">
        <v>-36.5</v>
      </c>
      <c r="L119" s="124">
        <v>5.2</v>
      </c>
      <c r="M119" s="139">
        <f xml:space="preserve"> E$1 * (-E119) + F$1 * (-F119) + G$1 * (-G119) + H$1 * (-H119) + I$1 * (-I119) + J$1 * (-J119) + K$1 * (-K119) + L$1 * (-L119)</f>
        <v>19.346</v>
      </c>
      <c r="N119" s="113"/>
      <c r="O119" s="143"/>
    </row>
    <row r="120" spans="1:15" ht="24" customHeight="1" x14ac:dyDescent="0.4">
      <c r="A120" s="149"/>
      <c r="B120" s="146">
        <f>M120</f>
        <v>19.024000000000001</v>
      </c>
      <c r="C120" s="133" t="s">
        <v>229</v>
      </c>
      <c r="D120" s="79">
        <v>6190</v>
      </c>
      <c r="E120" s="71">
        <v>-15.8</v>
      </c>
      <c r="F120" s="80">
        <v>-28.1</v>
      </c>
      <c r="G120" s="81">
        <v>-23.1</v>
      </c>
      <c r="H120" s="80">
        <v>-20</v>
      </c>
      <c r="I120" s="71">
        <v>-13.4</v>
      </c>
      <c r="J120" s="81">
        <v>5.8</v>
      </c>
      <c r="K120" s="80">
        <v>-35.9</v>
      </c>
      <c r="L120" s="124">
        <v>8.4</v>
      </c>
      <c r="M120" s="139">
        <f xml:space="preserve"> E$1 * (-E120) + F$1 * (-F120) + G$1 * (-G120) + H$1 * (-H120) + I$1 * (-I120) + J$1 * (-J120) + K$1 * (-K120) + L$1 * (-L120)</f>
        <v>19.024000000000001</v>
      </c>
      <c r="N120" s="113" t="s">
        <v>231</v>
      </c>
      <c r="O120" s="143"/>
    </row>
    <row r="121" spans="1:15" ht="24" customHeight="1" x14ac:dyDescent="0.4">
      <c r="A121" s="149"/>
      <c r="B121" s="146">
        <f>M121</f>
        <v>18.722999999999999</v>
      </c>
      <c r="C121" s="133" t="s">
        <v>229</v>
      </c>
      <c r="D121" s="79">
        <v>9120</v>
      </c>
      <c r="E121" s="71">
        <v>-15.9</v>
      </c>
      <c r="F121" s="80">
        <v>-26.8</v>
      </c>
      <c r="G121" s="81">
        <v>-23.1</v>
      </c>
      <c r="H121" s="80">
        <v>-20</v>
      </c>
      <c r="I121" s="71">
        <v>-12.6</v>
      </c>
      <c r="J121" s="81">
        <v>5.8</v>
      </c>
      <c r="K121" s="80">
        <v>-35.9</v>
      </c>
      <c r="L121" s="124">
        <v>9</v>
      </c>
      <c r="M121" s="139">
        <f xml:space="preserve"> E$1 * (-E121) + F$1 * (-F121) + G$1 * (-G121) + H$1 * (-H121) + I$1 * (-I121) + J$1 * (-J121) + K$1 * (-K121) + L$1 * (-L121)</f>
        <v>18.722999999999999</v>
      </c>
      <c r="N121" s="113" t="s">
        <v>230</v>
      </c>
      <c r="O121" s="143"/>
    </row>
    <row r="122" spans="1:15" ht="24" customHeight="1" x14ac:dyDescent="0.4">
      <c r="A122" s="149" t="s">
        <v>222</v>
      </c>
      <c r="B122" s="146">
        <f>M122</f>
        <v>18.334</v>
      </c>
      <c r="C122" s="133" t="s">
        <v>167</v>
      </c>
      <c r="D122" s="79">
        <v>9120</v>
      </c>
      <c r="E122" s="71">
        <v>-14.3</v>
      </c>
      <c r="F122" s="80">
        <v>-28.3</v>
      </c>
      <c r="G122" s="81">
        <v>-22.8</v>
      </c>
      <c r="H122" s="80">
        <v>-18.899999999999999</v>
      </c>
      <c r="I122" s="71">
        <v>-11.8</v>
      </c>
      <c r="J122" s="81">
        <v>5.6</v>
      </c>
      <c r="K122" s="80">
        <v>-36.5</v>
      </c>
      <c r="L122" s="124">
        <v>6.5</v>
      </c>
      <c r="M122" s="139">
        <f xml:space="preserve"> E$1 * (-E122) + F$1 * (-F122) + G$1 * (-G122) + H$1 * (-H122) + I$1 * (-I122) + J$1 * (-J122) + K$1 * (-K122) + L$1 * (-L122)</f>
        <v>18.334</v>
      </c>
      <c r="N122" s="113"/>
      <c r="O122" s="143"/>
    </row>
    <row r="123" spans="1:15" ht="24" customHeight="1" x14ac:dyDescent="0.4">
      <c r="A123" s="149"/>
      <c r="B123" s="146">
        <f>M123</f>
        <v>17.483000000000001</v>
      </c>
      <c r="C123" s="133" t="s">
        <v>166</v>
      </c>
      <c r="D123" s="79">
        <v>6190</v>
      </c>
      <c r="E123" s="71">
        <v>-13.7</v>
      </c>
      <c r="F123" s="80">
        <v>-26.7</v>
      </c>
      <c r="G123" s="81">
        <v>-20.399999999999999</v>
      </c>
      <c r="H123" s="80">
        <v>-18.8</v>
      </c>
      <c r="I123" s="71">
        <v>-12.1</v>
      </c>
      <c r="J123" s="81">
        <v>9.9</v>
      </c>
      <c r="K123" s="80">
        <v>-41.5</v>
      </c>
      <c r="L123" s="124">
        <v>7</v>
      </c>
      <c r="M123" s="139">
        <f xml:space="preserve"> E$1 * (-E123) + F$1 * (-F123) + G$1 * (-G123) + H$1 * (-H123) + I$1 * (-I123) + J$1 * (-J123) + K$1 * (-K123) + L$1 * (-L123)</f>
        <v>17.483000000000001</v>
      </c>
      <c r="N123" s="113"/>
      <c r="O123" s="143"/>
    </row>
    <row r="124" spans="1:15" ht="24" customHeight="1" x14ac:dyDescent="0.4">
      <c r="A124" s="149"/>
      <c r="B124" s="146">
        <f>M124</f>
        <v>16.882999999999999</v>
      </c>
      <c r="C124" s="151" t="s">
        <v>191</v>
      </c>
      <c r="D124" s="79">
        <v>9120</v>
      </c>
      <c r="E124" s="71">
        <v>-7.6</v>
      </c>
      <c r="F124" s="80">
        <v>-31.5</v>
      </c>
      <c r="G124" s="81">
        <v>-25.3</v>
      </c>
      <c r="H124" s="80">
        <v>-23.2</v>
      </c>
      <c r="I124" s="71">
        <v>-6.6</v>
      </c>
      <c r="J124" s="81">
        <v>17.600000000000001</v>
      </c>
      <c r="K124" s="80">
        <v>-45</v>
      </c>
      <c r="L124" s="124">
        <v>4.5</v>
      </c>
      <c r="M124" s="139">
        <f xml:space="preserve"> E$1 * (-E124) + F$1 * (-F124) + G$1 * (-G124) + H$1 * (-H124) + I$1 * (-I124) + J$1 * (-J124) + K$1 * (-K124) + L$1 * (-L124)</f>
        <v>16.882999999999999</v>
      </c>
      <c r="N124" s="113"/>
      <c r="O124" s="143"/>
    </row>
    <row r="125" spans="1:15" ht="24" customHeight="1" x14ac:dyDescent="0.4">
      <c r="A125" s="149" t="s">
        <v>222</v>
      </c>
      <c r="B125" s="146">
        <f>M125</f>
        <v>16.152000000000001</v>
      </c>
      <c r="C125" s="133" t="s">
        <v>166</v>
      </c>
      <c r="D125" s="79">
        <v>9120</v>
      </c>
      <c r="E125" s="71">
        <v>-12.2</v>
      </c>
      <c r="F125" s="80">
        <v>-23.9</v>
      </c>
      <c r="G125" s="81">
        <v>-20.399999999999999</v>
      </c>
      <c r="H125" s="80">
        <v>-18.100000000000001</v>
      </c>
      <c r="I125" s="71">
        <v>-10.1</v>
      </c>
      <c r="J125" s="81">
        <v>9.9</v>
      </c>
      <c r="K125" s="80">
        <v>-41.5</v>
      </c>
      <c r="L125" s="124">
        <v>7.8</v>
      </c>
      <c r="M125" s="139">
        <f xml:space="preserve"> E$1 * (-E125) + F$1 * (-F125) + G$1 * (-G125) + H$1 * (-H125) + I$1 * (-I125) + J$1 * (-J125) + K$1 * (-K125) + L$1 * (-L125)</f>
        <v>16.152000000000001</v>
      </c>
      <c r="N125" s="113"/>
    </row>
    <row r="126" spans="1:15" ht="24" customHeight="1" x14ac:dyDescent="0.4">
      <c r="A126" s="149"/>
      <c r="B126" s="146">
        <f>M126</f>
        <v>15.933000000000002</v>
      </c>
      <c r="C126" s="140" t="s">
        <v>172</v>
      </c>
      <c r="D126" s="79">
        <v>6190</v>
      </c>
      <c r="E126" s="71">
        <v>-9.1999999999999993</v>
      </c>
      <c r="F126" s="80">
        <v>-26.9</v>
      </c>
      <c r="G126" s="81">
        <v>-21.6</v>
      </c>
      <c r="H126" s="80">
        <v>-19.100000000000001</v>
      </c>
      <c r="I126" s="71">
        <v>-7.6</v>
      </c>
      <c r="J126" s="81">
        <v>8.6</v>
      </c>
      <c r="K126" s="80">
        <v>-42.1</v>
      </c>
      <c r="L126" s="124">
        <v>5</v>
      </c>
      <c r="M126" s="139">
        <f xml:space="preserve"> E$1 * (-E126) + F$1 * (-F126) + G$1 * (-G126) + H$1 * (-H126) + I$1 * (-I126) + J$1 * (-J126) + K$1 * (-K126) + L$1 * (-L126)</f>
        <v>15.933000000000002</v>
      </c>
      <c r="N126" s="113"/>
    </row>
    <row r="127" spans="1:15" ht="24" customHeight="1" x14ac:dyDescent="0.4">
      <c r="A127" s="149"/>
      <c r="B127" s="146">
        <f>M127</f>
        <v>15.760999999999999</v>
      </c>
      <c r="C127" s="133" t="s">
        <v>165</v>
      </c>
      <c r="D127" s="79">
        <v>6190</v>
      </c>
      <c r="E127" s="71">
        <v>-12.4</v>
      </c>
      <c r="F127" s="80">
        <v>-25.1</v>
      </c>
      <c r="G127" s="81">
        <v>-20.9</v>
      </c>
      <c r="H127" s="80">
        <v>-14.4</v>
      </c>
      <c r="I127" s="71">
        <v>-10.5</v>
      </c>
      <c r="J127" s="81">
        <v>10.6</v>
      </c>
      <c r="K127" s="80">
        <v>-32.799999999999997</v>
      </c>
      <c r="L127" s="124">
        <v>6.2</v>
      </c>
      <c r="M127" s="139">
        <f xml:space="preserve"> E$1 * (-E127) + F$1 * (-F127) + G$1 * (-G127) + H$1 * (-H127) + I$1 * (-I127) + J$1 * (-J127) + K$1 * (-K127) + L$1 * (-L127)</f>
        <v>15.760999999999999</v>
      </c>
      <c r="N127" s="113"/>
    </row>
    <row r="128" spans="1:15" ht="24" customHeight="1" x14ac:dyDescent="0.4">
      <c r="A128" s="149"/>
      <c r="B128" s="146">
        <f>M128</f>
        <v>15.295999999999998</v>
      </c>
      <c r="C128" s="133" t="s">
        <v>181</v>
      </c>
      <c r="D128" s="79">
        <v>6190</v>
      </c>
      <c r="E128" s="71">
        <v>-11.5</v>
      </c>
      <c r="F128" s="80">
        <v>-25.9</v>
      </c>
      <c r="G128" s="81">
        <v>-18.399999999999999</v>
      </c>
      <c r="H128" s="80">
        <v>-15.4</v>
      </c>
      <c r="I128" s="71">
        <v>-9.1</v>
      </c>
      <c r="J128" s="81">
        <v>8.6</v>
      </c>
      <c r="K128" s="80">
        <v>-33.1</v>
      </c>
      <c r="L128" s="124">
        <v>8.1</v>
      </c>
      <c r="M128" s="139">
        <f xml:space="preserve"> E$1 * (-E128) + F$1 * (-F128) + G$1 * (-G128) + H$1 * (-H128) + I$1 * (-I128) + J$1 * (-J128) + K$1 * (-K128) + L$1 * (-L128)</f>
        <v>15.295999999999998</v>
      </c>
      <c r="N128" s="113"/>
    </row>
    <row r="129" spans="1:14" ht="24" customHeight="1" x14ac:dyDescent="0.4">
      <c r="A129" s="149" t="s">
        <v>222</v>
      </c>
      <c r="B129" s="146">
        <f>M129</f>
        <v>15.097000000000001</v>
      </c>
      <c r="C129" s="133" t="s">
        <v>182</v>
      </c>
      <c r="D129" s="79">
        <v>9120</v>
      </c>
      <c r="E129" s="71">
        <v>-10.6</v>
      </c>
      <c r="F129" s="80">
        <v>-26.1</v>
      </c>
      <c r="G129" s="81">
        <v>-20.9</v>
      </c>
      <c r="H129" s="80">
        <v>-14.1</v>
      </c>
      <c r="I129" s="71">
        <v>-8.3000000000000007</v>
      </c>
      <c r="J129" s="81">
        <v>10.6</v>
      </c>
      <c r="K129" s="80">
        <v>-32.799999999999997</v>
      </c>
      <c r="L129" s="124">
        <v>7.6</v>
      </c>
      <c r="M129" s="139">
        <f xml:space="preserve"> E$1 * (-E129) + F$1 * (-F129) + G$1 * (-G129) + H$1 * (-H129) + I$1 * (-I129) + J$1 * (-J129) + K$1 * (-K129) + L$1 * (-L129)</f>
        <v>15.097000000000001</v>
      </c>
      <c r="N129" s="113" t="s">
        <v>184</v>
      </c>
    </row>
    <row r="130" spans="1:14" ht="24" customHeight="1" x14ac:dyDescent="0.4">
      <c r="A130" s="149" t="s">
        <v>222</v>
      </c>
      <c r="B130" s="146">
        <f>M130</f>
        <v>15.009</v>
      </c>
      <c r="C130" s="133" t="s">
        <v>102</v>
      </c>
      <c r="D130" s="79">
        <v>9120</v>
      </c>
      <c r="E130" s="71">
        <v>-11.4</v>
      </c>
      <c r="F130" s="80">
        <v>-25.4</v>
      </c>
      <c r="G130" s="81">
        <v>-18.399999999999999</v>
      </c>
      <c r="H130" s="80">
        <v>-14.3</v>
      </c>
      <c r="I130" s="71">
        <v>-8.6999999999999993</v>
      </c>
      <c r="J130" s="81">
        <v>8.6</v>
      </c>
      <c r="K130" s="80">
        <v>-33.1</v>
      </c>
      <c r="L130" s="124">
        <v>8.6</v>
      </c>
      <c r="M130" s="139">
        <f xml:space="preserve"> E$1 * (-E130) + F$1 * (-F130) + G$1 * (-G130) + H$1 * (-H130) + I$1 * (-I130) + J$1 * (-J130) + K$1 * (-K130) + L$1 * (-L130)</f>
        <v>15.009</v>
      </c>
      <c r="N130" s="113"/>
    </row>
    <row r="131" spans="1:14" ht="24" customHeight="1" x14ac:dyDescent="0.4">
      <c r="A131" s="149"/>
      <c r="B131" s="146">
        <f>M131</f>
        <v>14.144</v>
      </c>
      <c r="C131" s="133" t="s">
        <v>183</v>
      </c>
      <c r="D131" s="79">
        <v>6190</v>
      </c>
      <c r="E131" s="71">
        <v>-10.9</v>
      </c>
      <c r="F131" s="80">
        <v>-25</v>
      </c>
      <c r="G131" s="81">
        <v>-15.8</v>
      </c>
      <c r="H131" s="80">
        <v>-13.2</v>
      </c>
      <c r="I131" s="71">
        <v>-9.1999999999999993</v>
      </c>
      <c r="J131" s="81">
        <v>11.2</v>
      </c>
      <c r="K131" s="80">
        <v>-31.9</v>
      </c>
      <c r="L131" s="124">
        <v>6.6</v>
      </c>
      <c r="M131" s="139">
        <f xml:space="preserve"> E$1 * (-E131) + F$1 * (-F131) + G$1 * (-G131) + H$1 * (-H131) + I$1 * (-I131) + J$1 * (-J131) + K$1 * (-K131) + L$1 * (-L131)</f>
        <v>14.144</v>
      </c>
      <c r="N131" s="113" t="s">
        <v>184</v>
      </c>
    </row>
    <row r="132" spans="1:14" ht="24" customHeight="1" x14ac:dyDescent="0.4">
      <c r="A132" s="149"/>
      <c r="B132" s="146">
        <f>M132</f>
        <v>14.109000000000002</v>
      </c>
      <c r="C132" s="140" t="s">
        <v>172</v>
      </c>
      <c r="D132" s="79">
        <v>9120</v>
      </c>
      <c r="E132" s="71">
        <v>-6.2</v>
      </c>
      <c r="F132" s="80">
        <v>-24.7</v>
      </c>
      <c r="G132" s="81">
        <v>-21.6</v>
      </c>
      <c r="H132" s="80">
        <v>-17.7</v>
      </c>
      <c r="I132" s="71">
        <v>-5.5</v>
      </c>
      <c r="J132" s="81">
        <v>8.6</v>
      </c>
      <c r="K132" s="80">
        <v>-42.1</v>
      </c>
      <c r="L132" s="124">
        <v>6.3</v>
      </c>
      <c r="M132" s="139">
        <f xml:space="preserve"> E$1 * (-E132) + F$1 * (-F132) + G$1 * (-G132) + H$1 * (-H132) + I$1 * (-I132) + J$1 * (-J132) + K$1 * (-K132) + L$1 * (-L132)</f>
        <v>14.109000000000002</v>
      </c>
      <c r="N132" s="113"/>
    </row>
    <row r="133" spans="1:14" ht="24" customHeight="1" x14ac:dyDescent="0.4">
      <c r="A133" s="149"/>
      <c r="B133" s="146">
        <f>M133</f>
        <v>13.660000000000002</v>
      </c>
      <c r="C133" s="133" t="s">
        <v>103</v>
      </c>
      <c r="D133" s="79">
        <v>9120</v>
      </c>
      <c r="E133" s="71">
        <v>-10.1</v>
      </c>
      <c r="F133" s="80">
        <v>-25</v>
      </c>
      <c r="G133" s="81">
        <v>-15.8</v>
      </c>
      <c r="H133" s="80">
        <v>-12.5</v>
      </c>
      <c r="I133" s="71">
        <v>-7.8</v>
      </c>
      <c r="J133" s="81">
        <v>11.2</v>
      </c>
      <c r="K133" s="80">
        <v>-31.9</v>
      </c>
      <c r="L133" s="124">
        <v>7.7</v>
      </c>
      <c r="M133" s="139">
        <f xml:space="preserve"> E$1 * (-E133) + F$1 * (-F133) + G$1 * (-G133) + H$1 * (-H133) + I$1 * (-I133) + J$1 * (-J133) + K$1 * (-K133) + L$1 * (-L133)</f>
        <v>13.660000000000002</v>
      </c>
      <c r="N133" s="113"/>
    </row>
    <row r="134" spans="1:14" ht="24" customHeight="1" x14ac:dyDescent="0.4">
      <c r="A134" s="149"/>
      <c r="B134" s="146">
        <f>M134</f>
        <v>7.0830000000000002</v>
      </c>
      <c r="C134" s="133" t="s">
        <v>200</v>
      </c>
      <c r="D134" s="79">
        <v>6190</v>
      </c>
      <c r="E134" s="71">
        <v>-4.3</v>
      </c>
      <c r="F134" s="80">
        <v>-15.7</v>
      </c>
      <c r="G134" s="81">
        <v>-8.1</v>
      </c>
      <c r="H134" s="80">
        <v>-5.8</v>
      </c>
      <c r="I134" s="71">
        <v>-2.8</v>
      </c>
      <c r="J134" s="81">
        <v>14.3</v>
      </c>
      <c r="K134" s="80">
        <v>-27.4</v>
      </c>
      <c r="L134" s="124">
        <v>11.8</v>
      </c>
      <c r="M134" s="139">
        <f xml:space="preserve"> E$1 * (-E134) + F$1 * (-F134) + G$1 * (-G134) + H$1 * (-H134) + I$1 * (-I134) + J$1 * (-J134) + K$1 * (-K134) + L$1 * (-L134)</f>
        <v>7.0830000000000002</v>
      </c>
      <c r="N134" s="113" t="s">
        <v>202</v>
      </c>
    </row>
    <row r="135" spans="1:14" ht="24" customHeight="1" x14ac:dyDescent="0.4">
      <c r="A135" s="149" t="s">
        <v>222</v>
      </c>
      <c r="B135" s="146">
        <f>M135</f>
        <v>5.9790000000000001</v>
      </c>
      <c r="C135" s="133" t="s">
        <v>200</v>
      </c>
      <c r="D135" s="79">
        <v>9120</v>
      </c>
      <c r="E135" s="71">
        <v>-2.7</v>
      </c>
      <c r="F135" s="80">
        <v>-14.4</v>
      </c>
      <c r="G135" s="81">
        <v>-8.1</v>
      </c>
      <c r="H135" s="80">
        <v>-4.7</v>
      </c>
      <c r="I135" s="71">
        <v>-1</v>
      </c>
      <c r="J135" s="81">
        <v>14.3</v>
      </c>
      <c r="K135" s="80">
        <v>-27.4</v>
      </c>
      <c r="L135" s="124">
        <v>13.3</v>
      </c>
      <c r="M135" s="139">
        <f xml:space="preserve"> E$1 * (-E135) + F$1 * (-F135) + G$1 * (-G135) + H$1 * (-H135) + I$1 * (-I135) + J$1 * (-J135) + K$1 * (-K135) + L$1 * (-L135)</f>
        <v>5.9790000000000001</v>
      </c>
      <c r="N135" s="113"/>
    </row>
    <row r="136" spans="1:14" ht="24" customHeight="1" x14ac:dyDescent="0.4">
      <c r="A136" s="149"/>
      <c r="B136" s="146">
        <f>M136</f>
        <v>-1.1850000000000001</v>
      </c>
      <c r="C136" s="133" t="s">
        <v>201</v>
      </c>
      <c r="D136" s="79">
        <v>6190</v>
      </c>
      <c r="E136" s="71">
        <v>3.7</v>
      </c>
      <c r="F136" s="80">
        <v>-6.3</v>
      </c>
      <c r="G136" s="81">
        <v>-0.5</v>
      </c>
      <c r="H136" s="80">
        <v>0.5</v>
      </c>
      <c r="I136" s="71">
        <v>4.8</v>
      </c>
      <c r="J136" s="81">
        <v>21.6</v>
      </c>
      <c r="K136" s="80">
        <v>-12.1</v>
      </c>
      <c r="L136" s="124">
        <v>15.8</v>
      </c>
      <c r="M136" s="139">
        <f xml:space="preserve"> E$1 * (-E136) + F$1 * (-F136) + G$1 * (-G136) + H$1 * (-H136) + I$1 * (-I136) + J$1 * (-J136) + K$1 * (-K136) + L$1 * (-L136)</f>
        <v>-1.1850000000000001</v>
      </c>
      <c r="N136" s="113"/>
    </row>
    <row r="137" spans="1:14" ht="24" customHeight="1" x14ac:dyDescent="0.4">
      <c r="A137" s="149"/>
      <c r="B137" s="146">
        <f>M137</f>
        <v>-2.6229999999999998</v>
      </c>
      <c r="C137" s="133" t="s">
        <v>201</v>
      </c>
      <c r="D137" s="79">
        <v>9120</v>
      </c>
      <c r="E137" s="71">
        <v>5.3</v>
      </c>
      <c r="F137" s="80">
        <v>-3.6</v>
      </c>
      <c r="G137" s="81">
        <v>-0.5</v>
      </c>
      <c r="H137" s="80">
        <v>2</v>
      </c>
      <c r="I137" s="71">
        <v>6.7</v>
      </c>
      <c r="J137" s="81">
        <v>21.6</v>
      </c>
      <c r="K137" s="80">
        <v>-12.1</v>
      </c>
      <c r="L137" s="124">
        <v>17.600000000000001</v>
      </c>
      <c r="M137" s="139">
        <f xml:space="preserve"> E$1 * (-E137) + F$1 * (-F137) + G$1 * (-G137) + H$1 * (-H137) + I$1 * (-I137) + J$1 * (-J137) + K$1 * (-K137) + L$1 * (-L137)</f>
        <v>-2.6229999999999998</v>
      </c>
      <c r="N137" s="113"/>
    </row>
    <row r="138" spans="1:14" ht="24" customHeight="1" x14ac:dyDescent="0.4">
      <c r="A138" s="149"/>
      <c r="B138" s="146"/>
      <c r="C138" s="133"/>
      <c r="D138" s="79"/>
      <c r="E138" s="71"/>
      <c r="F138" s="80"/>
      <c r="G138" s="81"/>
      <c r="H138" s="80"/>
      <c r="I138" s="71"/>
      <c r="J138" s="81"/>
      <c r="K138" s="80"/>
      <c r="L138" s="124"/>
      <c r="M138" s="139"/>
      <c r="N138" s="113"/>
    </row>
    <row r="139" spans="1:14" ht="24" customHeight="1" x14ac:dyDescent="0.4">
      <c r="A139" s="149"/>
      <c r="B139" s="146"/>
      <c r="C139" s="133"/>
      <c r="D139" s="79"/>
      <c r="E139" s="71"/>
      <c r="F139" s="80"/>
      <c r="G139" s="81"/>
      <c r="H139" s="80"/>
      <c r="I139" s="71"/>
      <c r="J139" s="81"/>
      <c r="K139" s="80"/>
      <c r="L139" s="124"/>
      <c r="M139" s="139"/>
      <c r="N139" s="113"/>
    </row>
    <row r="140" spans="1:14" ht="24" customHeight="1" x14ac:dyDescent="0.4">
      <c r="A140" s="149"/>
      <c r="B140" s="146"/>
      <c r="C140" s="133"/>
      <c r="D140" s="79"/>
      <c r="E140" s="71"/>
      <c r="F140" s="80"/>
      <c r="G140" s="81"/>
      <c r="H140" s="80"/>
      <c r="I140" s="71"/>
      <c r="J140" s="81"/>
      <c r="K140" s="80"/>
      <c r="L140" s="124"/>
      <c r="M140" s="139"/>
      <c r="N140" s="113"/>
    </row>
    <row r="141" spans="1:14" ht="24" customHeight="1" x14ac:dyDescent="0.4">
      <c r="A141" s="149"/>
      <c r="B141" s="146"/>
      <c r="C141" s="133"/>
      <c r="D141" s="79"/>
      <c r="E141" s="71"/>
      <c r="F141" s="80"/>
      <c r="G141" s="81"/>
      <c r="H141" s="80"/>
      <c r="I141" s="71"/>
      <c r="J141" s="81"/>
      <c r="K141" s="80"/>
      <c r="L141" s="124"/>
      <c r="M141" s="139"/>
      <c r="N141" s="113"/>
    </row>
    <row r="142" spans="1:14" ht="24" customHeight="1" x14ac:dyDescent="0.4">
      <c r="A142" s="149"/>
      <c r="B142" s="146"/>
      <c r="C142" s="133"/>
      <c r="D142" s="79"/>
      <c r="E142" s="71"/>
      <c r="F142" s="80"/>
      <c r="G142" s="81"/>
      <c r="H142" s="80"/>
      <c r="I142" s="71"/>
      <c r="J142" s="81"/>
      <c r="K142" s="80"/>
      <c r="L142" s="124"/>
      <c r="M142" s="139"/>
      <c r="N142" s="113"/>
    </row>
    <row r="143" spans="1:14" ht="24" customHeight="1" x14ac:dyDescent="0.4">
      <c r="A143" s="149"/>
      <c r="B143" s="146"/>
      <c r="C143" s="133"/>
      <c r="D143" s="79"/>
      <c r="E143" s="71"/>
      <c r="F143" s="80"/>
      <c r="G143" s="81"/>
      <c r="H143" s="80"/>
      <c r="I143" s="71"/>
      <c r="J143" s="81"/>
      <c r="K143" s="80"/>
      <c r="L143" s="124"/>
      <c r="M143" s="139"/>
      <c r="N143" s="113"/>
    </row>
    <row r="144" spans="1:14" ht="24" customHeight="1" x14ac:dyDescent="0.4">
      <c r="A144" s="149"/>
      <c r="B144" s="146"/>
      <c r="C144" s="133"/>
      <c r="D144" s="79"/>
      <c r="E144" s="71"/>
      <c r="F144" s="80"/>
      <c r="G144" s="81"/>
      <c r="H144" s="80"/>
      <c r="I144" s="71"/>
      <c r="J144" s="81"/>
      <c r="K144" s="80"/>
      <c r="L144" s="124"/>
      <c r="M144" s="139"/>
      <c r="N144" s="113"/>
    </row>
    <row r="145" spans="1:14" ht="24" customHeight="1" x14ac:dyDescent="0.4">
      <c r="A145" s="149"/>
      <c r="B145" s="146"/>
      <c r="C145" s="133"/>
      <c r="D145" s="79"/>
      <c r="E145" s="71"/>
      <c r="F145" s="80"/>
      <c r="G145" s="81"/>
      <c r="H145" s="80"/>
      <c r="I145" s="71"/>
      <c r="J145" s="81"/>
      <c r="K145" s="80"/>
      <c r="L145" s="124"/>
      <c r="M145" s="139"/>
      <c r="N145" s="113"/>
    </row>
    <row r="146" spans="1:14" ht="24" customHeight="1" x14ac:dyDescent="0.4">
      <c r="A146" s="149"/>
      <c r="B146" s="146"/>
      <c r="C146" s="133"/>
      <c r="D146" s="79"/>
      <c r="E146" s="71"/>
      <c r="F146" s="80"/>
      <c r="G146" s="81"/>
      <c r="H146" s="80"/>
      <c r="I146" s="71"/>
      <c r="J146" s="81"/>
      <c r="K146" s="80"/>
      <c r="L146" s="124"/>
      <c r="M146" s="139"/>
      <c r="N146" s="113"/>
    </row>
    <row r="147" spans="1:14" ht="24" customHeight="1" x14ac:dyDescent="0.4">
      <c r="A147" s="149"/>
      <c r="B147" s="146"/>
      <c r="C147" s="133"/>
      <c r="D147" s="79"/>
      <c r="E147" s="71"/>
      <c r="F147" s="80"/>
      <c r="G147" s="81"/>
      <c r="H147" s="80"/>
      <c r="I147" s="71"/>
      <c r="J147" s="81"/>
      <c r="K147" s="80"/>
      <c r="L147" s="124"/>
      <c r="M147" s="139"/>
      <c r="N147" s="113"/>
    </row>
    <row r="148" spans="1:14" ht="24" customHeight="1" x14ac:dyDescent="0.4">
      <c r="A148" s="149"/>
      <c r="B148" s="146"/>
      <c r="C148" s="133"/>
      <c r="D148" s="79"/>
      <c r="E148" s="71"/>
      <c r="F148" s="80"/>
      <c r="G148" s="81"/>
      <c r="H148" s="80"/>
      <c r="I148" s="71"/>
      <c r="J148" s="81"/>
      <c r="K148" s="80"/>
      <c r="L148" s="124"/>
      <c r="M148" s="139"/>
      <c r="N148" s="113"/>
    </row>
    <row r="149" spans="1:14" ht="24" customHeight="1" x14ac:dyDescent="0.4">
      <c r="A149" s="149"/>
      <c r="B149" s="146"/>
      <c r="C149" s="133"/>
      <c r="D149" s="79"/>
      <c r="E149" s="71"/>
      <c r="F149" s="80"/>
      <c r="G149" s="81"/>
      <c r="H149" s="80"/>
      <c r="I149" s="71"/>
      <c r="J149" s="81"/>
      <c r="K149" s="80"/>
      <c r="L149" s="124"/>
      <c r="M149" s="139"/>
      <c r="N149" s="113"/>
    </row>
    <row r="150" spans="1:14" ht="24" customHeight="1" x14ac:dyDescent="0.4">
      <c r="A150" s="149"/>
      <c r="B150" s="146"/>
      <c r="C150" s="133"/>
      <c r="D150" s="79"/>
      <c r="E150" s="71"/>
      <c r="F150" s="80"/>
      <c r="G150" s="81"/>
      <c r="H150" s="80"/>
      <c r="I150" s="71"/>
      <c r="J150" s="81"/>
      <c r="K150" s="80"/>
      <c r="L150" s="124"/>
      <c r="M150" s="139"/>
      <c r="N150" s="113"/>
    </row>
    <row r="151" spans="1:14" ht="24" customHeight="1" x14ac:dyDescent="0.4">
      <c r="A151" s="149"/>
      <c r="B151" s="146"/>
      <c r="C151" s="133"/>
      <c r="D151" s="79"/>
      <c r="E151" s="71"/>
      <c r="F151" s="80"/>
      <c r="G151" s="81"/>
      <c r="H151" s="80"/>
      <c r="I151" s="71"/>
      <c r="J151" s="81"/>
      <c r="K151" s="80"/>
      <c r="L151" s="124"/>
      <c r="M151" s="139"/>
      <c r="N151" s="113"/>
    </row>
    <row r="152" spans="1:14" ht="24" customHeight="1" x14ac:dyDescent="0.4">
      <c r="A152" s="149"/>
      <c r="B152" s="146"/>
      <c r="C152" s="133"/>
      <c r="D152" s="79"/>
      <c r="E152" s="71"/>
      <c r="F152" s="80"/>
      <c r="G152" s="81"/>
      <c r="H152" s="80"/>
      <c r="I152" s="71"/>
      <c r="J152" s="81"/>
      <c r="K152" s="80"/>
      <c r="L152" s="124"/>
      <c r="M152" s="139"/>
      <c r="N152" s="113"/>
    </row>
    <row r="153" spans="1:14" ht="24" customHeight="1" x14ac:dyDescent="0.4">
      <c r="A153" s="149"/>
      <c r="B153" s="146"/>
      <c r="C153" s="133"/>
      <c r="D153" s="79"/>
      <c r="E153" s="71"/>
      <c r="F153" s="80"/>
      <c r="G153" s="81"/>
      <c r="H153" s="80"/>
      <c r="I153" s="71"/>
      <c r="J153" s="81"/>
      <c r="K153" s="80"/>
      <c r="L153" s="124"/>
      <c r="M153" s="139"/>
      <c r="N153" s="113"/>
    </row>
    <row r="154" spans="1:14" ht="24" customHeight="1" x14ac:dyDescent="0.4">
      <c r="A154" s="149"/>
      <c r="B154" s="146"/>
      <c r="C154" s="133"/>
      <c r="D154" s="79"/>
      <c r="E154" s="71"/>
      <c r="F154" s="80"/>
      <c r="G154" s="81"/>
      <c r="H154" s="80"/>
      <c r="I154" s="71"/>
      <c r="J154" s="81"/>
      <c r="K154" s="80"/>
      <c r="L154" s="124"/>
      <c r="M154" s="139"/>
      <c r="N154" s="113"/>
    </row>
    <row r="155" spans="1:14" ht="24" customHeight="1" x14ac:dyDescent="0.4">
      <c r="A155" s="149"/>
      <c r="B155" s="146"/>
      <c r="C155" s="133"/>
      <c r="D155" s="79"/>
      <c r="E155" s="71"/>
      <c r="F155" s="80"/>
      <c r="G155" s="81"/>
      <c r="H155" s="80"/>
      <c r="I155" s="71"/>
      <c r="J155" s="81"/>
      <c r="K155" s="80"/>
      <c r="L155" s="124"/>
      <c r="M155" s="139"/>
      <c r="N155" s="113"/>
    </row>
    <row r="156" spans="1:14" ht="24" customHeight="1" x14ac:dyDescent="0.4">
      <c r="A156" s="149"/>
      <c r="B156" s="146"/>
      <c r="C156" s="133"/>
      <c r="D156" s="79"/>
      <c r="E156" s="71"/>
      <c r="F156" s="80"/>
      <c r="G156" s="81"/>
      <c r="H156" s="80"/>
      <c r="I156" s="71"/>
      <c r="J156" s="81"/>
      <c r="K156" s="80"/>
      <c r="L156" s="124"/>
      <c r="M156" s="139"/>
      <c r="N156" s="113"/>
    </row>
    <row r="157" spans="1:14" ht="24" customHeight="1" x14ac:dyDescent="0.4">
      <c r="A157" s="149"/>
      <c r="B157" s="146"/>
      <c r="C157" s="133"/>
      <c r="D157" s="79"/>
      <c r="E157" s="71"/>
      <c r="F157" s="80"/>
      <c r="G157" s="81"/>
      <c r="H157" s="80"/>
      <c r="I157" s="71"/>
      <c r="J157" s="81"/>
      <c r="K157" s="80"/>
      <c r="L157" s="124"/>
      <c r="M157" s="139"/>
      <c r="N157" s="113"/>
    </row>
    <row r="158" spans="1:14" ht="24" customHeight="1" x14ac:dyDescent="0.4">
      <c r="A158" s="149"/>
      <c r="B158" s="146"/>
      <c r="C158" s="133"/>
      <c r="D158" s="79"/>
      <c r="E158" s="71"/>
      <c r="F158" s="80"/>
      <c r="G158" s="81"/>
      <c r="H158" s="80"/>
      <c r="I158" s="71"/>
      <c r="J158" s="81"/>
      <c r="K158" s="80"/>
      <c r="L158" s="124"/>
      <c r="M158" s="139"/>
      <c r="N158" s="113"/>
    </row>
    <row r="159" spans="1:14" ht="24" customHeight="1" x14ac:dyDescent="0.4">
      <c r="A159" s="149"/>
      <c r="B159" s="146"/>
      <c r="C159" s="133"/>
      <c r="D159" s="79"/>
      <c r="E159" s="71"/>
      <c r="F159" s="80"/>
      <c r="G159" s="81"/>
      <c r="H159" s="80"/>
      <c r="I159" s="71"/>
      <c r="J159" s="81"/>
      <c r="K159" s="80"/>
      <c r="L159" s="124"/>
      <c r="M159" s="139"/>
      <c r="N159" s="113"/>
    </row>
    <row r="160" spans="1:14" ht="24" customHeight="1" x14ac:dyDescent="0.4">
      <c r="A160" s="149"/>
      <c r="B160" s="146"/>
      <c r="C160" s="133"/>
      <c r="D160" s="79"/>
      <c r="E160" s="71"/>
      <c r="F160" s="80"/>
      <c r="G160" s="81"/>
      <c r="H160" s="80"/>
      <c r="I160" s="71"/>
      <c r="J160" s="81"/>
      <c r="K160" s="80"/>
      <c r="L160" s="124"/>
      <c r="M160" s="139"/>
      <c r="N160" s="113"/>
    </row>
    <row r="161" spans="1:14" ht="24" customHeight="1" x14ac:dyDescent="0.4">
      <c r="A161" s="149"/>
      <c r="B161" s="146"/>
      <c r="C161" s="133"/>
      <c r="D161" s="79"/>
      <c r="E161" s="71"/>
      <c r="F161" s="80"/>
      <c r="G161" s="81"/>
      <c r="H161" s="80"/>
      <c r="I161" s="71"/>
      <c r="J161" s="81"/>
      <c r="K161" s="80"/>
      <c r="L161" s="124"/>
      <c r="M161" s="139"/>
      <c r="N161" s="113"/>
    </row>
    <row r="162" spans="1:14" ht="24" customHeight="1" x14ac:dyDescent="0.4">
      <c r="A162" s="149"/>
      <c r="B162" s="146"/>
      <c r="C162" s="133"/>
      <c r="D162" s="79"/>
      <c r="E162" s="71"/>
      <c r="F162" s="80"/>
      <c r="G162" s="81"/>
      <c r="H162" s="80"/>
      <c r="I162" s="71"/>
      <c r="J162" s="81"/>
      <c r="K162" s="80"/>
      <c r="L162" s="124"/>
      <c r="M162" s="139"/>
      <c r="N162" s="113"/>
    </row>
    <row r="163" spans="1:14" ht="24" customHeight="1" x14ac:dyDescent="0.4">
      <c r="A163" s="149"/>
      <c r="B163" s="146"/>
      <c r="C163" s="133"/>
      <c r="D163" s="79"/>
      <c r="E163" s="71"/>
      <c r="F163" s="80"/>
      <c r="G163" s="81"/>
      <c r="H163" s="80"/>
      <c r="I163" s="71"/>
      <c r="J163" s="81"/>
      <c r="K163" s="80"/>
      <c r="L163" s="124"/>
      <c r="M163" s="139"/>
      <c r="N163" s="113"/>
    </row>
    <row r="164" spans="1:14" ht="24" customHeight="1" x14ac:dyDescent="0.4">
      <c r="A164" s="149"/>
      <c r="B164" s="146"/>
      <c r="C164" s="133"/>
      <c r="D164" s="79"/>
      <c r="E164" s="71"/>
      <c r="F164" s="80"/>
      <c r="G164" s="81"/>
      <c r="H164" s="80"/>
      <c r="I164" s="71"/>
      <c r="J164" s="81"/>
      <c r="K164" s="80"/>
      <c r="L164" s="124"/>
      <c r="M164" s="139"/>
      <c r="N164" s="113"/>
    </row>
    <row r="165" spans="1:14" ht="24" customHeight="1" x14ac:dyDescent="0.4">
      <c r="A165" s="149"/>
      <c r="B165" s="146"/>
      <c r="C165" s="133"/>
      <c r="D165" s="79"/>
      <c r="E165" s="71"/>
      <c r="F165" s="80"/>
      <c r="G165" s="81"/>
      <c r="H165" s="80"/>
      <c r="I165" s="71"/>
      <c r="J165" s="81"/>
      <c r="K165" s="80"/>
      <c r="L165" s="124"/>
      <c r="M165" s="139"/>
      <c r="N165" s="113"/>
    </row>
    <row r="166" spans="1:14" ht="24" customHeight="1" x14ac:dyDescent="0.4">
      <c r="A166" s="149"/>
      <c r="B166" s="146"/>
      <c r="C166" s="133"/>
      <c r="D166" s="79"/>
      <c r="E166" s="71"/>
      <c r="F166" s="80"/>
      <c r="G166" s="81"/>
      <c r="H166" s="80"/>
      <c r="I166" s="71"/>
      <c r="J166" s="81"/>
      <c r="K166" s="80"/>
      <c r="L166" s="124"/>
      <c r="M166" s="139"/>
      <c r="N166" s="113"/>
    </row>
    <row r="167" spans="1:14" ht="24" customHeight="1" x14ac:dyDescent="0.4">
      <c r="A167" s="149"/>
      <c r="B167" s="146"/>
      <c r="C167" s="133"/>
      <c r="D167" s="79"/>
      <c r="E167" s="71"/>
      <c r="F167" s="80"/>
      <c r="G167" s="81"/>
      <c r="H167" s="80"/>
      <c r="I167" s="71"/>
      <c r="J167" s="81"/>
      <c r="K167" s="80"/>
      <c r="L167" s="124"/>
      <c r="M167" s="139"/>
      <c r="N167" s="113"/>
    </row>
    <row r="168" spans="1:14" ht="24" customHeight="1" x14ac:dyDescent="0.4">
      <c r="A168" s="149"/>
      <c r="B168" s="146"/>
      <c r="C168" s="133"/>
      <c r="D168" s="79"/>
      <c r="E168" s="71"/>
      <c r="F168" s="80"/>
      <c r="G168" s="81"/>
      <c r="H168" s="80"/>
      <c r="I168" s="71"/>
      <c r="J168" s="81"/>
      <c r="K168" s="80"/>
      <c r="L168" s="124"/>
      <c r="M168" s="139"/>
      <c r="N168" s="113"/>
    </row>
    <row r="169" spans="1:14" ht="24" customHeight="1" x14ac:dyDescent="0.4">
      <c r="A169" s="149"/>
      <c r="B169" s="146"/>
      <c r="C169" s="133"/>
      <c r="D169" s="79"/>
      <c r="E169" s="71"/>
      <c r="F169" s="80"/>
      <c r="G169" s="81"/>
      <c r="H169" s="80"/>
      <c r="I169" s="71"/>
      <c r="J169" s="81"/>
      <c r="K169" s="80"/>
      <c r="L169" s="124"/>
      <c r="M169" s="139"/>
      <c r="N169" s="113"/>
    </row>
    <row r="170" spans="1:14" ht="24" customHeight="1" x14ac:dyDescent="0.4">
      <c r="A170" s="149"/>
      <c r="B170" s="146"/>
      <c r="C170" s="133"/>
      <c r="D170" s="79"/>
      <c r="E170" s="71"/>
      <c r="F170" s="80"/>
      <c r="G170" s="81"/>
      <c r="H170" s="80"/>
      <c r="I170" s="71"/>
      <c r="J170" s="81"/>
      <c r="K170" s="80"/>
      <c r="L170" s="124"/>
      <c r="M170" s="139"/>
      <c r="N170" s="113"/>
    </row>
    <row r="171" spans="1:14" ht="24" customHeight="1" x14ac:dyDescent="0.4">
      <c r="A171" s="149"/>
      <c r="B171" s="146"/>
      <c r="C171" s="133"/>
      <c r="D171" s="79"/>
      <c r="E171" s="71"/>
      <c r="F171" s="80"/>
      <c r="G171" s="81"/>
      <c r="H171" s="80"/>
      <c r="I171" s="71"/>
      <c r="J171" s="81"/>
      <c r="K171" s="80"/>
      <c r="L171" s="124"/>
      <c r="M171" s="139"/>
      <c r="N171" s="113"/>
    </row>
    <row r="172" spans="1:14" ht="24" customHeight="1" x14ac:dyDescent="0.4">
      <c r="A172" s="149"/>
      <c r="B172" s="146"/>
      <c r="C172" s="133"/>
      <c r="D172" s="79"/>
      <c r="E172" s="71"/>
      <c r="F172" s="80"/>
      <c r="G172" s="81"/>
      <c r="H172" s="80"/>
      <c r="I172" s="71"/>
      <c r="J172" s="81"/>
      <c r="K172" s="80"/>
      <c r="L172" s="124"/>
      <c r="M172" s="139"/>
      <c r="N172" s="113"/>
    </row>
    <row r="173" spans="1:14" ht="24" customHeight="1" x14ac:dyDescent="0.4">
      <c r="A173" s="149"/>
      <c r="B173" s="146"/>
      <c r="C173" s="133"/>
      <c r="D173" s="79"/>
      <c r="E173" s="71"/>
      <c r="F173" s="80"/>
      <c r="G173" s="81"/>
      <c r="H173" s="80"/>
      <c r="I173" s="71"/>
      <c r="J173" s="81"/>
      <c r="K173" s="80"/>
      <c r="L173" s="124"/>
      <c r="M173" s="139"/>
      <c r="N173" s="113"/>
    </row>
    <row r="174" spans="1:14" ht="24" customHeight="1" x14ac:dyDescent="0.4">
      <c r="A174" s="149"/>
      <c r="B174" s="146"/>
      <c r="C174" s="133"/>
      <c r="D174" s="79"/>
      <c r="E174" s="71"/>
      <c r="F174" s="80"/>
      <c r="G174" s="81"/>
      <c r="H174" s="80"/>
      <c r="I174" s="71"/>
      <c r="J174" s="81"/>
      <c r="K174" s="80"/>
      <c r="L174" s="124"/>
      <c r="M174" s="139"/>
      <c r="N174" s="113"/>
    </row>
    <row r="175" spans="1:14" ht="24" customHeight="1" x14ac:dyDescent="0.4">
      <c r="A175" s="149"/>
      <c r="B175" s="146"/>
      <c r="C175" s="133"/>
      <c r="D175" s="79"/>
      <c r="E175" s="71"/>
      <c r="F175" s="80"/>
      <c r="G175" s="81"/>
      <c r="H175" s="80"/>
      <c r="I175" s="71"/>
      <c r="J175" s="81"/>
      <c r="K175" s="80"/>
      <c r="L175" s="124"/>
      <c r="M175" s="139"/>
      <c r="N175" s="113"/>
    </row>
    <row r="176" spans="1:14" ht="24" customHeight="1" x14ac:dyDescent="0.4">
      <c r="A176" s="149"/>
      <c r="B176" s="146"/>
      <c r="C176" s="133"/>
      <c r="D176" s="79"/>
      <c r="E176" s="71"/>
      <c r="F176" s="80"/>
      <c r="G176" s="81"/>
      <c r="H176" s="80"/>
      <c r="I176" s="71"/>
      <c r="J176" s="81"/>
      <c r="K176" s="80"/>
      <c r="L176" s="124"/>
      <c r="M176" s="139"/>
      <c r="N176" s="113"/>
    </row>
    <row r="177" spans="1:14" ht="24" customHeight="1" x14ac:dyDescent="0.4">
      <c r="A177" s="149"/>
      <c r="B177" s="146"/>
      <c r="C177" s="133"/>
      <c r="D177" s="79"/>
      <c r="E177" s="71"/>
      <c r="F177" s="80"/>
      <c r="G177" s="81"/>
      <c r="H177" s="80"/>
      <c r="I177" s="71"/>
      <c r="J177" s="81"/>
      <c r="K177" s="80"/>
      <c r="L177" s="124"/>
      <c r="M177" s="139"/>
      <c r="N177" s="113"/>
    </row>
    <row r="178" spans="1:14" ht="24" customHeight="1" x14ac:dyDescent="0.4">
      <c r="A178" s="149"/>
      <c r="B178" s="146"/>
      <c r="C178" s="133"/>
      <c r="D178" s="79"/>
      <c r="E178" s="71"/>
      <c r="F178" s="80"/>
      <c r="G178" s="81"/>
      <c r="H178" s="80"/>
      <c r="I178" s="71"/>
      <c r="J178" s="81"/>
      <c r="K178" s="80"/>
      <c r="L178" s="124"/>
      <c r="M178" s="139"/>
      <c r="N178" s="113"/>
    </row>
    <row r="179" spans="1:14" ht="24" customHeight="1" x14ac:dyDescent="0.4">
      <c r="A179" s="149"/>
      <c r="B179" s="146"/>
      <c r="C179" s="133"/>
      <c r="D179" s="79"/>
      <c r="E179" s="71"/>
      <c r="F179" s="80"/>
      <c r="G179" s="81"/>
      <c r="H179" s="80"/>
      <c r="I179" s="71"/>
      <c r="J179" s="81"/>
      <c r="K179" s="80"/>
      <c r="L179" s="124"/>
      <c r="M179" s="139"/>
      <c r="N179" s="113"/>
    </row>
    <row r="180" spans="1:14" ht="24" customHeight="1" x14ac:dyDescent="0.4">
      <c r="A180" s="149"/>
      <c r="B180" s="146"/>
      <c r="C180" s="133"/>
      <c r="D180" s="79"/>
      <c r="E180" s="71"/>
      <c r="F180" s="80"/>
      <c r="G180" s="81"/>
      <c r="H180" s="80"/>
      <c r="I180" s="71"/>
      <c r="J180" s="81"/>
      <c r="K180" s="80"/>
      <c r="L180" s="124"/>
      <c r="M180" s="139"/>
      <c r="N180" s="113"/>
    </row>
    <row r="181" spans="1:14" ht="24" customHeight="1" x14ac:dyDescent="0.4">
      <c r="A181" s="149"/>
      <c r="B181" s="146"/>
      <c r="C181" s="133"/>
      <c r="D181" s="79"/>
      <c r="E181" s="71"/>
      <c r="F181" s="80"/>
      <c r="G181" s="81"/>
      <c r="H181" s="80"/>
      <c r="I181" s="71"/>
      <c r="J181" s="81"/>
      <c r="K181" s="80"/>
      <c r="L181" s="124"/>
      <c r="M181" s="139"/>
      <c r="N181" s="113"/>
    </row>
    <row r="182" spans="1:14" ht="24" customHeight="1" x14ac:dyDescent="0.4">
      <c r="A182" s="149"/>
      <c r="B182" s="146"/>
      <c r="C182" s="133"/>
      <c r="D182" s="79"/>
      <c r="E182" s="71"/>
      <c r="F182" s="80"/>
      <c r="G182" s="81"/>
      <c r="H182" s="80"/>
      <c r="I182" s="71"/>
      <c r="J182" s="81"/>
      <c r="K182" s="80"/>
      <c r="L182" s="124"/>
      <c r="M182" s="139"/>
      <c r="N182" s="113"/>
    </row>
    <row r="183" spans="1:14" ht="24" customHeight="1" x14ac:dyDescent="0.4">
      <c r="A183" s="149"/>
      <c r="B183" s="146"/>
      <c r="C183" s="133"/>
      <c r="D183" s="79"/>
      <c r="E183" s="71"/>
      <c r="F183" s="80"/>
      <c r="G183" s="81"/>
      <c r="H183" s="80"/>
      <c r="I183" s="71"/>
      <c r="J183" s="81"/>
      <c r="K183" s="80"/>
      <c r="L183" s="124"/>
      <c r="M183" s="139"/>
      <c r="N183" s="113"/>
    </row>
    <row r="184" spans="1:14" ht="24" customHeight="1" x14ac:dyDescent="0.4">
      <c r="A184" s="149"/>
      <c r="B184" s="146"/>
      <c r="C184" s="133"/>
      <c r="D184" s="79"/>
      <c r="E184" s="71"/>
      <c r="F184" s="80"/>
      <c r="G184" s="81"/>
      <c r="H184" s="80"/>
      <c r="I184" s="71"/>
      <c r="J184" s="81"/>
      <c r="K184" s="80"/>
      <c r="L184" s="124"/>
      <c r="M184" s="139"/>
      <c r="N184" s="113"/>
    </row>
    <row r="185" spans="1:14" ht="24" customHeight="1" x14ac:dyDescent="0.4">
      <c r="A185" s="149"/>
      <c r="B185" s="146"/>
      <c r="C185" s="133"/>
      <c r="D185" s="79"/>
      <c r="E185" s="71"/>
      <c r="F185" s="80"/>
      <c r="G185" s="81"/>
      <c r="H185" s="80"/>
      <c r="I185" s="71"/>
      <c r="J185" s="81"/>
      <c r="K185" s="80"/>
      <c r="L185" s="124"/>
      <c r="M185" s="139"/>
      <c r="N185" s="113"/>
    </row>
    <row r="186" spans="1:14" ht="24" customHeight="1" x14ac:dyDescent="0.4">
      <c r="A186" s="149"/>
      <c r="B186" s="146"/>
      <c r="C186" s="133"/>
      <c r="D186" s="79"/>
      <c r="E186" s="71"/>
      <c r="F186" s="80"/>
      <c r="G186" s="81"/>
      <c r="H186" s="80"/>
      <c r="I186" s="71"/>
      <c r="J186" s="81"/>
      <c r="K186" s="80"/>
      <c r="L186" s="124"/>
      <c r="M186" s="139"/>
      <c r="N186" s="113"/>
    </row>
    <row r="187" spans="1:14" ht="24" customHeight="1" x14ac:dyDescent="0.4">
      <c r="A187" s="149"/>
      <c r="B187" s="146"/>
      <c r="C187" s="133"/>
      <c r="D187" s="79"/>
      <c r="E187" s="71"/>
      <c r="F187" s="80"/>
      <c r="G187" s="81"/>
      <c r="H187" s="80"/>
      <c r="I187" s="71"/>
      <c r="J187" s="81"/>
      <c r="K187" s="80"/>
      <c r="L187" s="124"/>
      <c r="M187" s="139"/>
      <c r="N187" s="113"/>
    </row>
    <row r="188" spans="1:14" ht="24" customHeight="1" x14ac:dyDescent="0.4">
      <c r="A188" s="149"/>
      <c r="B188" s="146"/>
      <c r="C188" s="133"/>
      <c r="D188" s="79"/>
      <c r="E188" s="71"/>
      <c r="F188" s="80"/>
      <c r="G188" s="81"/>
      <c r="H188" s="80"/>
      <c r="I188" s="71"/>
      <c r="J188" s="81"/>
      <c r="K188" s="80"/>
      <c r="L188" s="124"/>
      <c r="M188" s="139"/>
      <c r="N188" s="113"/>
    </row>
    <row r="189" spans="1:14" ht="24" customHeight="1" x14ac:dyDescent="0.4">
      <c r="A189" s="149"/>
      <c r="B189" s="146"/>
      <c r="C189" s="133"/>
      <c r="D189" s="79"/>
      <c r="E189" s="71"/>
      <c r="F189" s="80"/>
      <c r="G189" s="81"/>
      <c r="H189" s="80"/>
      <c r="I189" s="71"/>
      <c r="J189" s="81"/>
      <c r="K189" s="80"/>
      <c r="L189" s="124"/>
      <c r="M189" s="139"/>
      <c r="N189" s="113"/>
    </row>
    <row r="190" spans="1:14" ht="24" customHeight="1" x14ac:dyDescent="0.4">
      <c r="A190" s="149"/>
      <c r="B190" s="146"/>
      <c r="C190" s="133"/>
      <c r="D190" s="79"/>
      <c r="E190" s="71"/>
      <c r="F190" s="80"/>
      <c r="G190" s="81"/>
      <c r="H190" s="80"/>
      <c r="I190" s="71"/>
      <c r="J190" s="81"/>
      <c r="K190" s="80"/>
      <c r="L190" s="124"/>
      <c r="M190" s="139"/>
      <c r="N190" s="113"/>
    </row>
    <row r="191" spans="1:14" ht="24" customHeight="1" x14ac:dyDescent="0.4">
      <c r="A191" s="149"/>
      <c r="B191" s="146"/>
      <c r="C191" s="133"/>
      <c r="D191" s="79"/>
      <c r="E191" s="71"/>
      <c r="F191" s="80"/>
      <c r="G191" s="81"/>
      <c r="H191" s="80"/>
      <c r="I191" s="71"/>
      <c r="J191" s="81"/>
      <c r="K191" s="80"/>
      <c r="L191" s="124"/>
      <c r="M191" s="139"/>
      <c r="N191" s="113"/>
    </row>
    <row r="192" spans="1:14" ht="24" customHeight="1" x14ac:dyDescent="0.4">
      <c r="A192" s="149"/>
      <c r="B192" s="146"/>
      <c r="C192" s="133"/>
      <c r="D192" s="79"/>
      <c r="E192" s="71"/>
      <c r="F192" s="80"/>
      <c r="G192" s="81"/>
      <c r="H192" s="80"/>
      <c r="I192" s="71"/>
      <c r="J192" s="81"/>
      <c r="K192" s="80"/>
      <c r="L192" s="124"/>
      <c r="M192" s="139"/>
      <c r="N192" s="113"/>
    </row>
    <row r="193" spans="1:14" ht="24" customHeight="1" x14ac:dyDescent="0.4">
      <c r="A193" s="149"/>
      <c r="B193" s="146"/>
      <c r="C193" s="133"/>
      <c r="D193" s="79"/>
      <c r="E193" s="71"/>
      <c r="F193" s="80"/>
      <c r="G193" s="81"/>
      <c r="H193" s="80"/>
      <c r="I193" s="71"/>
      <c r="J193" s="81"/>
      <c r="K193" s="80"/>
      <c r="L193" s="124"/>
      <c r="M193" s="139"/>
      <c r="N193" s="113"/>
    </row>
    <row r="194" spans="1:14" ht="24" customHeight="1" x14ac:dyDescent="0.4">
      <c r="A194" s="149"/>
      <c r="B194" s="146"/>
      <c r="C194" s="133"/>
      <c r="D194" s="79"/>
      <c r="E194" s="71"/>
      <c r="F194" s="80"/>
      <c r="G194" s="81"/>
      <c r="H194" s="80"/>
      <c r="I194" s="71"/>
      <c r="J194" s="81"/>
      <c r="K194" s="80"/>
      <c r="L194" s="124"/>
      <c r="M194" s="139"/>
      <c r="N194" s="113"/>
    </row>
    <row r="195" spans="1:14" ht="24" customHeight="1" x14ac:dyDescent="0.4">
      <c r="A195" s="149"/>
      <c r="B195" s="146"/>
      <c r="C195" s="133"/>
      <c r="D195" s="79"/>
      <c r="E195" s="71"/>
      <c r="F195" s="80"/>
      <c r="G195" s="81"/>
      <c r="H195" s="80"/>
      <c r="I195" s="71"/>
      <c r="J195" s="81"/>
      <c r="K195" s="80"/>
      <c r="L195" s="124"/>
      <c r="M195" s="139"/>
      <c r="N195" s="113"/>
    </row>
    <row r="196" spans="1:14" ht="24" customHeight="1" x14ac:dyDescent="0.4">
      <c r="A196" s="149"/>
      <c r="B196" s="146"/>
      <c r="C196" s="133"/>
      <c r="D196" s="79"/>
      <c r="E196" s="71"/>
      <c r="F196" s="80"/>
      <c r="G196" s="81"/>
      <c r="H196" s="80"/>
      <c r="I196" s="71"/>
      <c r="J196" s="81"/>
      <c r="K196" s="80"/>
      <c r="L196" s="124"/>
      <c r="M196" s="139"/>
      <c r="N196" s="113"/>
    </row>
    <row r="197" spans="1:14" ht="24" customHeight="1" x14ac:dyDescent="0.4">
      <c r="A197" s="149"/>
      <c r="B197" s="146"/>
      <c r="C197" s="133"/>
      <c r="D197" s="79"/>
      <c r="E197" s="71"/>
      <c r="F197" s="80"/>
      <c r="G197" s="81"/>
      <c r="H197" s="80"/>
      <c r="I197" s="71"/>
      <c r="J197" s="81"/>
      <c r="K197" s="80"/>
      <c r="L197" s="124"/>
      <c r="M197" s="139"/>
      <c r="N197" s="113"/>
    </row>
    <row r="198" spans="1:14" ht="24" customHeight="1" x14ac:dyDescent="0.4">
      <c r="A198" s="149"/>
      <c r="B198" s="146"/>
      <c r="C198" s="133"/>
      <c r="D198" s="79"/>
      <c r="E198" s="71"/>
      <c r="F198" s="80"/>
      <c r="G198" s="81"/>
      <c r="H198" s="80"/>
      <c r="I198" s="71"/>
      <c r="J198" s="81"/>
      <c r="K198" s="80"/>
      <c r="L198" s="124"/>
      <c r="M198" s="139"/>
      <c r="N198" s="113"/>
    </row>
    <row r="199" spans="1:14" ht="24" customHeight="1" x14ac:dyDescent="0.4">
      <c r="A199" s="149"/>
      <c r="B199" s="146"/>
      <c r="C199" s="133"/>
      <c r="D199" s="79"/>
      <c r="E199" s="71"/>
      <c r="F199" s="80"/>
      <c r="G199" s="81"/>
      <c r="H199" s="80"/>
      <c r="I199" s="71"/>
      <c r="J199" s="81"/>
      <c r="K199" s="80"/>
      <c r="L199" s="124"/>
      <c r="M199" s="139"/>
      <c r="N199" s="113"/>
    </row>
    <row r="200" spans="1:14" ht="24" customHeight="1" x14ac:dyDescent="0.4">
      <c r="A200" s="149"/>
      <c r="B200" s="146"/>
      <c r="C200" s="133"/>
      <c r="D200" s="79"/>
      <c r="E200" s="71"/>
      <c r="F200" s="80"/>
      <c r="G200" s="81"/>
      <c r="H200" s="80"/>
      <c r="I200" s="71"/>
      <c r="J200" s="81"/>
      <c r="K200" s="80"/>
      <c r="L200" s="124"/>
      <c r="M200" s="139"/>
      <c r="N200" s="113"/>
    </row>
    <row r="201" spans="1:14" ht="24" customHeight="1" x14ac:dyDescent="0.4">
      <c r="A201" s="149"/>
      <c r="B201" s="146"/>
      <c r="C201" s="133"/>
      <c r="D201" s="79"/>
      <c r="E201" s="71"/>
      <c r="F201" s="80"/>
      <c r="G201" s="81"/>
      <c r="H201" s="80"/>
      <c r="I201" s="71"/>
      <c r="J201" s="81"/>
      <c r="K201" s="80"/>
      <c r="L201" s="124"/>
      <c r="M201" s="139"/>
      <c r="N201" s="113"/>
    </row>
    <row r="202" spans="1:14" ht="24" customHeight="1" x14ac:dyDescent="0.4">
      <c r="A202" s="149"/>
      <c r="B202" s="146"/>
      <c r="C202" s="133"/>
      <c r="D202" s="79"/>
      <c r="E202" s="71"/>
      <c r="F202" s="80"/>
      <c r="G202" s="81"/>
      <c r="H202" s="80"/>
      <c r="I202" s="71"/>
      <c r="J202" s="81"/>
      <c r="K202" s="80"/>
      <c r="L202" s="124"/>
      <c r="M202" s="139"/>
      <c r="N202" s="113"/>
    </row>
    <row r="203" spans="1:14" ht="24" customHeight="1" x14ac:dyDescent="0.4">
      <c r="A203" s="149"/>
      <c r="B203" s="146"/>
      <c r="C203" s="133"/>
      <c r="D203" s="79"/>
      <c r="E203" s="71"/>
      <c r="F203" s="80"/>
      <c r="G203" s="81"/>
      <c r="H203" s="80"/>
      <c r="I203" s="71"/>
      <c r="J203" s="81"/>
      <c r="K203" s="80"/>
      <c r="L203" s="124"/>
      <c r="M203" s="139"/>
      <c r="N203" s="113"/>
    </row>
    <row r="204" spans="1:14" ht="24" customHeight="1" x14ac:dyDescent="0.4">
      <c r="A204" s="149"/>
      <c r="B204" s="146"/>
      <c r="C204" s="133"/>
      <c r="D204" s="79"/>
      <c r="E204" s="71"/>
      <c r="F204" s="80"/>
      <c r="G204" s="81"/>
      <c r="H204" s="80"/>
      <c r="I204" s="71"/>
      <c r="J204" s="81"/>
      <c r="K204" s="80"/>
      <c r="L204" s="124"/>
      <c r="M204" s="139"/>
      <c r="N204" s="113"/>
    </row>
    <row r="205" spans="1:14" ht="24" customHeight="1" x14ac:dyDescent="0.4">
      <c r="A205" s="149"/>
      <c r="B205" s="146"/>
      <c r="C205" s="133"/>
      <c r="D205" s="79"/>
      <c r="E205" s="71"/>
      <c r="F205" s="80"/>
      <c r="G205" s="81"/>
      <c r="H205" s="80"/>
      <c r="I205" s="71"/>
      <c r="J205" s="81"/>
      <c r="K205" s="80"/>
      <c r="L205" s="124"/>
      <c r="M205" s="139"/>
      <c r="N205" s="113"/>
    </row>
    <row r="206" spans="1:14" ht="24" customHeight="1" x14ac:dyDescent="0.4">
      <c r="A206" s="149"/>
      <c r="B206" s="146"/>
      <c r="C206" s="133"/>
      <c r="D206" s="79"/>
      <c r="E206" s="71"/>
      <c r="F206" s="80"/>
      <c r="G206" s="81"/>
      <c r="H206" s="80"/>
      <c r="I206" s="71"/>
      <c r="J206" s="81"/>
      <c r="K206" s="80"/>
      <c r="L206" s="124"/>
      <c r="M206" s="139"/>
      <c r="N206" s="113"/>
    </row>
    <row r="207" spans="1:14" ht="24" customHeight="1" x14ac:dyDescent="0.4">
      <c r="A207" s="149"/>
      <c r="B207" s="146"/>
      <c r="C207" s="133"/>
      <c r="D207" s="79"/>
      <c r="E207" s="71"/>
      <c r="F207" s="80"/>
      <c r="G207" s="81"/>
      <c r="H207" s="80"/>
      <c r="I207" s="71"/>
      <c r="J207" s="81"/>
      <c r="K207" s="80"/>
      <c r="L207" s="124"/>
      <c r="M207" s="139"/>
      <c r="N207" s="113"/>
    </row>
    <row r="208" spans="1:14" ht="24" customHeight="1" x14ac:dyDescent="0.4">
      <c r="A208" s="149"/>
      <c r="B208" s="146"/>
      <c r="C208" s="133"/>
      <c r="D208" s="79"/>
      <c r="E208" s="71"/>
      <c r="F208" s="80"/>
      <c r="G208" s="81"/>
      <c r="H208" s="80"/>
      <c r="I208" s="71"/>
      <c r="J208" s="81"/>
      <c r="K208" s="80"/>
      <c r="L208" s="124"/>
      <c r="M208" s="139"/>
      <c r="N208" s="113"/>
    </row>
    <row r="209" spans="1:14" ht="24" customHeight="1" x14ac:dyDescent="0.4">
      <c r="A209" s="149"/>
      <c r="B209" s="146"/>
      <c r="C209" s="133"/>
      <c r="D209" s="79"/>
      <c r="E209" s="71"/>
      <c r="F209" s="80"/>
      <c r="G209" s="81"/>
      <c r="H209" s="80"/>
      <c r="I209" s="71"/>
      <c r="J209" s="81"/>
      <c r="K209" s="80"/>
      <c r="L209" s="124"/>
      <c r="M209" s="139"/>
      <c r="N209" s="113"/>
    </row>
    <row r="210" spans="1:14" ht="24" customHeight="1" x14ac:dyDescent="0.4">
      <c r="A210" s="149"/>
      <c r="B210" s="146"/>
      <c r="C210" s="133"/>
      <c r="D210" s="79"/>
      <c r="E210" s="71"/>
      <c r="F210" s="80"/>
      <c r="G210" s="81"/>
      <c r="H210" s="80"/>
      <c r="I210" s="71"/>
      <c r="J210" s="81"/>
      <c r="K210" s="80"/>
      <c r="L210" s="124"/>
      <c r="M210" s="139"/>
      <c r="N210" s="113"/>
    </row>
    <row r="211" spans="1:14" ht="24" customHeight="1" x14ac:dyDescent="0.4">
      <c r="A211" s="149"/>
      <c r="B211" s="146"/>
      <c r="C211" s="133"/>
      <c r="D211" s="79"/>
      <c r="E211" s="71"/>
      <c r="F211" s="80"/>
      <c r="G211" s="81"/>
      <c r="H211" s="80"/>
      <c r="I211" s="71"/>
      <c r="J211" s="81"/>
      <c r="K211" s="80"/>
      <c r="L211" s="124"/>
      <c r="M211" s="139"/>
      <c r="N211" s="113"/>
    </row>
    <row r="212" spans="1:14" ht="24" customHeight="1" x14ac:dyDescent="0.4">
      <c r="A212" s="149"/>
      <c r="B212" s="146"/>
      <c r="C212" s="133"/>
      <c r="D212" s="79"/>
      <c r="E212" s="71"/>
      <c r="F212" s="80"/>
      <c r="G212" s="81"/>
      <c r="H212" s="80"/>
      <c r="I212" s="71"/>
      <c r="J212" s="81"/>
      <c r="K212" s="80"/>
      <c r="L212" s="124"/>
      <c r="M212" s="139"/>
      <c r="N212" s="113"/>
    </row>
    <row r="213" spans="1:14" ht="24" customHeight="1" x14ac:dyDescent="0.4">
      <c r="A213" s="149"/>
      <c r="B213" s="146"/>
      <c r="C213" s="133"/>
      <c r="D213" s="79"/>
      <c r="E213" s="71"/>
      <c r="F213" s="80"/>
      <c r="G213" s="81"/>
      <c r="H213" s="80"/>
      <c r="I213" s="71"/>
      <c r="J213" s="81"/>
      <c r="K213" s="80"/>
      <c r="L213" s="124"/>
      <c r="M213" s="139"/>
      <c r="N213" s="113"/>
    </row>
    <row r="214" spans="1:14" ht="24" customHeight="1" x14ac:dyDescent="0.4">
      <c r="A214" s="149"/>
      <c r="B214" s="146"/>
      <c r="C214" s="133"/>
      <c r="D214" s="79"/>
      <c r="E214" s="71"/>
      <c r="F214" s="80"/>
      <c r="G214" s="81"/>
      <c r="H214" s="80"/>
      <c r="I214" s="71"/>
      <c r="J214" s="81"/>
      <c r="K214" s="80"/>
      <c r="L214" s="124"/>
      <c r="M214" s="139"/>
      <c r="N214" s="113"/>
    </row>
    <row r="215" spans="1:14" ht="24" customHeight="1" x14ac:dyDescent="0.4">
      <c r="A215" s="149"/>
      <c r="B215" s="146"/>
      <c r="C215" s="133"/>
      <c r="D215" s="79"/>
      <c r="E215" s="71"/>
      <c r="F215" s="80"/>
      <c r="G215" s="81"/>
      <c r="H215" s="80"/>
      <c r="I215" s="71"/>
      <c r="J215" s="81"/>
      <c r="K215" s="80"/>
      <c r="L215" s="124"/>
      <c r="M215" s="139"/>
      <c r="N215" s="113"/>
    </row>
    <row r="216" spans="1:14" ht="24" customHeight="1" x14ac:dyDescent="0.4">
      <c r="A216" s="149"/>
      <c r="B216" s="146"/>
      <c r="C216" s="133"/>
      <c r="D216" s="79"/>
      <c r="E216" s="71"/>
      <c r="F216" s="80"/>
      <c r="G216" s="81"/>
      <c r="H216" s="80"/>
      <c r="I216" s="71"/>
      <c r="J216" s="81"/>
      <c r="K216" s="80"/>
      <c r="L216" s="124"/>
      <c r="M216" s="139"/>
      <c r="N216" s="113"/>
    </row>
    <row r="217" spans="1:14" ht="24" customHeight="1" x14ac:dyDescent="0.4">
      <c r="A217" s="149"/>
      <c r="B217" s="146"/>
      <c r="C217" s="133"/>
      <c r="D217" s="79"/>
      <c r="E217" s="71"/>
      <c r="F217" s="80"/>
      <c r="G217" s="81"/>
      <c r="H217" s="80"/>
      <c r="I217" s="71"/>
      <c r="J217" s="81"/>
      <c r="K217" s="80"/>
      <c r="L217" s="124"/>
      <c r="M217" s="139"/>
      <c r="N217" s="113"/>
    </row>
    <row r="218" spans="1:14" ht="24" customHeight="1" x14ac:dyDescent="0.4">
      <c r="A218" s="149"/>
      <c r="B218" s="146"/>
      <c r="C218" s="133"/>
      <c r="D218" s="79"/>
      <c r="E218" s="71"/>
      <c r="F218" s="80"/>
      <c r="G218" s="81"/>
      <c r="H218" s="80"/>
      <c r="I218" s="71"/>
      <c r="J218" s="81"/>
      <c r="K218" s="80"/>
      <c r="L218" s="124"/>
      <c r="M218" s="139"/>
      <c r="N218" s="113"/>
    </row>
    <row r="219" spans="1:14" ht="24" customHeight="1" x14ac:dyDescent="0.4">
      <c r="A219" s="149"/>
      <c r="B219" s="146"/>
      <c r="C219" s="133"/>
      <c r="D219" s="79"/>
      <c r="E219" s="71"/>
      <c r="F219" s="80"/>
      <c r="G219" s="81"/>
      <c r="H219" s="80"/>
      <c r="I219" s="71"/>
      <c r="J219" s="81"/>
      <c r="K219" s="80"/>
      <c r="L219" s="124"/>
      <c r="M219" s="139"/>
      <c r="N219" s="113"/>
    </row>
    <row r="220" spans="1:14" ht="24" customHeight="1" x14ac:dyDescent="0.4">
      <c r="A220" s="149"/>
      <c r="B220" s="146"/>
      <c r="C220" s="133"/>
      <c r="D220" s="79"/>
      <c r="E220" s="71"/>
      <c r="F220" s="80"/>
      <c r="G220" s="81"/>
      <c r="H220" s="80"/>
      <c r="I220" s="71"/>
      <c r="J220" s="81"/>
      <c r="K220" s="80"/>
      <c r="L220" s="124"/>
      <c r="M220" s="139"/>
      <c r="N220" s="113"/>
    </row>
    <row r="221" spans="1:14" ht="24" customHeight="1" x14ac:dyDescent="0.4">
      <c r="A221" s="149"/>
      <c r="B221" s="146"/>
      <c r="C221" s="133"/>
      <c r="D221" s="79"/>
      <c r="E221" s="71"/>
      <c r="F221" s="80"/>
      <c r="G221" s="81"/>
      <c r="H221" s="80"/>
      <c r="I221" s="71"/>
      <c r="J221" s="81"/>
      <c r="K221" s="80"/>
      <c r="L221" s="124"/>
      <c r="M221" s="139"/>
      <c r="N221" s="113"/>
    </row>
    <row r="222" spans="1:14" ht="24" customHeight="1" x14ac:dyDescent="0.4">
      <c r="A222" s="149"/>
      <c r="B222" s="146"/>
      <c r="C222" s="133"/>
      <c r="D222" s="79"/>
      <c r="E222" s="71"/>
      <c r="F222" s="80"/>
      <c r="G222" s="81"/>
      <c r="H222" s="80"/>
      <c r="I222" s="71"/>
      <c r="J222" s="81"/>
      <c r="K222" s="80"/>
      <c r="L222" s="124"/>
      <c r="M222" s="139"/>
      <c r="N222" s="113"/>
    </row>
    <row r="223" spans="1:14" ht="24" customHeight="1" x14ac:dyDescent="0.4">
      <c r="A223" s="149"/>
      <c r="B223" s="146"/>
      <c r="C223" s="133"/>
      <c r="D223" s="79"/>
      <c r="E223" s="71"/>
      <c r="F223" s="80"/>
      <c r="G223" s="81"/>
      <c r="H223" s="80"/>
      <c r="I223" s="71"/>
      <c r="J223" s="81"/>
      <c r="K223" s="80"/>
      <c r="L223" s="124"/>
      <c r="M223" s="139"/>
      <c r="N223" s="113"/>
    </row>
    <row r="224" spans="1:14" ht="24" customHeight="1" x14ac:dyDescent="0.4">
      <c r="A224" s="149"/>
      <c r="B224" s="146"/>
      <c r="C224" s="133"/>
      <c r="D224" s="79"/>
      <c r="E224" s="71"/>
      <c r="F224" s="80"/>
      <c r="G224" s="81"/>
      <c r="H224" s="80"/>
      <c r="I224" s="71"/>
      <c r="J224" s="81"/>
      <c r="K224" s="80"/>
      <c r="L224" s="124"/>
      <c r="M224" s="139"/>
      <c r="N224" s="113"/>
    </row>
    <row r="225" spans="1:14" ht="24" customHeight="1" x14ac:dyDescent="0.4">
      <c r="A225" s="149"/>
      <c r="B225" s="146"/>
      <c r="C225" s="133"/>
      <c r="D225" s="79"/>
      <c r="E225" s="71"/>
      <c r="F225" s="80"/>
      <c r="G225" s="81"/>
      <c r="H225" s="80"/>
      <c r="I225" s="71"/>
      <c r="J225" s="81"/>
      <c r="K225" s="80"/>
      <c r="L225" s="124"/>
      <c r="M225" s="139"/>
      <c r="N225" s="113"/>
    </row>
    <row r="226" spans="1:14" ht="24" customHeight="1" x14ac:dyDescent="0.4">
      <c r="A226" s="149"/>
      <c r="B226" s="146"/>
      <c r="C226" s="133"/>
      <c r="D226" s="79"/>
      <c r="E226" s="71"/>
      <c r="F226" s="80"/>
      <c r="G226" s="81"/>
      <c r="H226" s="80"/>
      <c r="I226" s="71"/>
      <c r="J226" s="81"/>
      <c r="K226" s="80"/>
      <c r="L226" s="124"/>
      <c r="M226" s="139"/>
      <c r="N226" s="113"/>
    </row>
    <row r="227" spans="1:14" ht="24" customHeight="1" x14ac:dyDescent="0.4">
      <c r="A227" s="149"/>
      <c r="B227" s="146"/>
      <c r="C227" s="133"/>
      <c r="D227" s="79"/>
      <c r="E227" s="71"/>
      <c r="F227" s="80"/>
      <c r="G227" s="81"/>
      <c r="H227" s="80"/>
      <c r="I227" s="71"/>
      <c r="J227" s="81"/>
      <c r="K227" s="80"/>
      <c r="L227" s="124"/>
      <c r="M227" s="139"/>
      <c r="N227" s="113"/>
    </row>
    <row r="228" spans="1:14" ht="24" customHeight="1" x14ac:dyDescent="0.4">
      <c r="A228" s="149"/>
      <c r="B228" s="146"/>
      <c r="C228" s="133"/>
      <c r="D228" s="79"/>
      <c r="E228" s="71"/>
      <c r="F228" s="80"/>
      <c r="G228" s="81"/>
      <c r="H228" s="80"/>
      <c r="I228" s="71"/>
      <c r="J228" s="81"/>
      <c r="K228" s="80"/>
      <c r="L228" s="124"/>
      <c r="M228" s="139"/>
      <c r="N228" s="113"/>
    </row>
    <row r="229" spans="1:14" ht="24" customHeight="1" x14ac:dyDescent="0.4">
      <c r="A229" s="149"/>
      <c r="B229" s="146"/>
      <c r="C229" s="133"/>
      <c r="D229" s="79"/>
      <c r="E229" s="71"/>
      <c r="F229" s="80"/>
      <c r="G229" s="81"/>
      <c r="H229" s="80"/>
      <c r="I229" s="71"/>
      <c r="J229" s="81"/>
      <c r="K229" s="80"/>
      <c r="L229" s="124"/>
      <c r="M229" s="139"/>
      <c r="N229" s="113"/>
    </row>
    <row r="230" spans="1:14" ht="24" customHeight="1" x14ac:dyDescent="0.4">
      <c r="A230" s="149"/>
      <c r="B230" s="146"/>
      <c r="C230" s="133"/>
      <c r="D230" s="79"/>
      <c r="E230" s="71"/>
      <c r="F230" s="80"/>
      <c r="G230" s="81"/>
      <c r="H230" s="80"/>
      <c r="I230" s="71"/>
      <c r="J230" s="81"/>
      <c r="K230" s="80"/>
      <c r="L230" s="124"/>
      <c r="M230" s="139"/>
      <c r="N230" s="113"/>
    </row>
    <row r="231" spans="1:14" ht="24" customHeight="1" x14ac:dyDescent="0.4">
      <c r="A231" s="149"/>
      <c r="B231" s="146"/>
      <c r="C231" s="133"/>
      <c r="D231" s="79"/>
      <c r="E231" s="71"/>
      <c r="F231" s="80"/>
      <c r="G231" s="81"/>
      <c r="H231" s="80"/>
      <c r="I231" s="71"/>
      <c r="J231" s="81"/>
      <c r="K231" s="80"/>
      <c r="L231" s="124"/>
      <c r="M231" s="139"/>
      <c r="N231" s="113"/>
    </row>
    <row r="232" spans="1:14" ht="24" customHeight="1" x14ac:dyDescent="0.4">
      <c r="A232" s="149"/>
      <c r="B232" s="146"/>
      <c r="C232" s="133"/>
      <c r="D232" s="79"/>
      <c r="E232" s="71"/>
      <c r="F232" s="80"/>
      <c r="G232" s="81"/>
      <c r="H232" s="80"/>
      <c r="I232" s="71"/>
      <c r="J232" s="81"/>
      <c r="K232" s="80"/>
      <c r="L232" s="124"/>
      <c r="M232" s="139"/>
      <c r="N232" s="113"/>
    </row>
    <row r="233" spans="1:14" ht="24" customHeight="1" x14ac:dyDescent="0.4">
      <c r="A233" s="149"/>
      <c r="B233" s="146"/>
      <c r="C233" s="133"/>
      <c r="D233" s="79"/>
      <c r="E233" s="71"/>
      <c r="F233" s="80"/>
      <c r="G233" s="81"/>
      <c r="H233" s="80"/>
      <c r="I233" s="71"/>
      <c r="J233" s="81"/>
      <c r="K233" s="80"/>
      <c r="L233" s="124"/>
      <c r="M233" s="139"/>
      <c r="N233" s="113"/>
    </row>
    <row r="234" spans="1:14" ht="24" customHeight="1" x14ac:dyDescent="0.4">
      <c r="A234" s="149"/>
      <c r="B234" s="146"/>
      <c r="C234" s="133"/>
      <c r="D234" s="79"/>
      <c r="E234" s="71"/>
      <c r="F234" s="80"/>
      <c r="G234" s="81"/>
      <c r="H234" s="80"/>
      <c r="I234" s="71"/>
      <c r="J234" s="81"/>
      <c r="K234" s="80"/>
      <c r="L234" s="124"/>
      <c r="M234" s="139"/>
      <c r="N234" s="113"/>
    </row>
    <row r="235" spans="1:14" ht="24" customHeight="1" x14ac:dyDescent="0.4">
      <c r="A235" s="149"/>
      <c r="B235" s="146"/>
      <c r="C235" s="133"/>
      <c r="D235" s="79"/>
      <c r="E235" s="71"/>
      <c r="F235" s="80"/>
      <c r="G235" s="81"/>
      <c r="H235" s="80"/>
      <c r="I235" s="71"/>
      <c r="J235" s="81"/>
      <c r="K235" s="80"/>
      <c r="L235" s="124"/>
      <c r="M235" s="139"/>
      <c r="N235" s="113"/>
    </row>
    <row r="236" spans="1:14" ht="24" customHeight="1" x14ac:dyDescent="0.4">
      <c r="A236" s="149"/>
      <c r="B236" s="146"/>
      <c r="C236" s="133"/>
      <c r="D236" s="79"/>
      <c r="E236" s="71"/>
      <c r="F236" s="80"/>
      <c r="G236" s="81"/>
      <c r="H236" s="80"/>
      <c r="I236" s="71"/>
      <c r="J236" s="81"/>
      <c r="K236" s="80"/>
      <c r="L236" s="124"/>
      <c r="M236" s="139"/>
      <c r="N236" s="113"/>
    </row>
    <row r="237" spans="1:14" ht="24" customHeight="1" x14ac:dyDescent="0.4">
      <c r="A237" s="149"/>
      <c r="B237" s="146"/>
      <c r="C237" s="133"/>
      <c r="D237" s="79"/>
      <c r="E237" s="71"/>
      <c r="F237" s="80"/>
      <c r="G237" s="81"/>
      <c r="H237" s="80"/>
      <c r="I237" s="71"/>
      <c r="J237" s="81"/>
      <c r="K237" s="80"/>
      <c r="L237" s="124"/>
      <c r="M237" s="139"/>
      <c r="N237" s="113"/>
    </row>
    <row r="238" spans="1:14" ht="24" customHeight="1" x14ac:dyDescent="0.4">
      <c r="A238" s="149"/>
      <c r="B238" s="146"/>
      <c r="C238" s="133"/>
      <c r="D238" s="79"/>
      <c r="E238" s="71"/>
      <c r="F238" s="80"/>
      <c r="G238" s="81"/>
      <c r="H238" s="80"/>
      <c r="I238" s="71"/>
      <c r="J238" s="81"/>
      <c r="K238" s="80"/>
      <c r="L238" s="124"/>
      <c r="M238" s="139"/>
      <c r="N238" s="113"/>
    </row>
    <row r="239" spans="1:14" ht="24" customHeight="1" x14ac:dyDescent="0.4">
      <c r="A239" s="149"/>
      <c r="B239" s="146"/>
      <c r="C239" s="133"/>
      <c r="D239" s="79"/>
      <c r="E239" s="71"/>
      <c r="F239" s="80"/>
      <c r="G239" s="81"/>
      <c r="H239" s="80"/>
      <c r="I239" s="71"/>
      <c r="J239" s="81"/>
      <c r="K239" s="80"/>
      <c r="L239" s="124"/>
      <c r="M239" s="139"/>
      <c r="N239" s="113"/>
    </row>
    <row r="240" spans="1:14" ht="24" customHeight="1" x14ac:dyDescent="0.4">
      <c r="A240" s="149"/>
      <c r="B240" s="146"/>
      <c r="C240" s="133"/>
      <c r="D240" s="79"/>
      <c r="E240" s="71"/>
      <c r="F240" s="80"/>
      <c r="G240" s="81"/>
      <c r="H240" s="80"/>
      <c r="I240" s="71"/>
      <c r="J240" s="81"/>
      <c r="K240" s="80"/>
      <c r="L240" s="124"/>
      <c r="M240" s="139"/>
      <c r="N240" s="113"/>
    </row>
    <row r="241" spans="1:14" ht="24" customHeight="1" x14ac:dyDescent="0.4">
      <c r="A241" s="149"/>
      <c r="B241" s="146"/>
      <c r="C241" s="133"/>
      <c r="D241" s="79"/>
      <c r="E241" s="71"/>
      <c r="F241" s="80"/>
      <c r="G241" s="81"/>
      <c r="H241" s="80"/>
      <c r="I241" s="71"/>
      <c r="J241" s="81"/>
      <c r="K241" s="80"/>
      <c r="L241" s="124"/>
      <c r="M241" s="139"/>
      <c r="N241" s="113"/>
    </row>
    <row r="242" spans="1:14" ht="24" customHeight="1" x14ac:dyDescent="0.4">
      <c r="A242" s="149"/>
      <c r="B242" s="146"/>
      <c r="C242" s="133"/>
      <c r="D242" s="79"/>
      <c r="E242" s="71"/>
      <c r="F242" s="80"/>
      <c r="G242" s="81"/>
      <c r="H242" s="80"/>
      <c r="I242" s="71"/>
      <c r="J242" s="81"/>
      <c r="K242" s="80"/>
      <c r="L242" s="124"/>
      <c r="M242" s="139"/>
      <c r="N242" s="113"/>
    </row>
    <row r="243" spans="1:14" ht="24" customHeight="1" x14ac:dyDescent="0.4">
      <c r="A243" s="149"/>
      <c r="B243" s="146"/>
      <c r="C243" s="133"/>
      <c r="D243" s="79"/>
      <c r="E243" s="71"/>
      <c r="F243" s="80"/>
      <c r="G243" s="81"/>
      <c r="H243" s="80"/>
      <c r="I243" s="71"/>
      <c r="J243" s="81"/>
      <c r="K243" s="80"/>
      <c r="L243" s="124"/>
      <c r="M243" s="139"/>
      <c r="N243" s="113"/>
    </row>
    <row r="244" spans="1:14" ht="24" customHeight="1" x14ac:dyDescent="0.4">
      <c r="C244" s="134"/>
      <c r="L244" s="125"/>
    </row>
    <row r="245" spans="1:14" ht="24" customHeight="1" x14ac:dyDescent="0.4">
      <c r="C245" s="134"/>
      <c r="L245" s="125"/>
    </row>
    <row r="246" spans="1:14" ht="24" customHeight="1" x14ac:dyDescent="0.4">
      <c r="C246" s="134"/>
      <c r="L246" s="125"/>
    </row>
    <row r="247" spans="1:14" ht="24" customHeight="1" x14ac:dyDescent="0.4">
      <c r="C247" s="134"/>
      <c r="L247" s="125"/>
    </row>
    <row r="248" spans="1:14" ht="24" customHeight="1" x14ac:dyDescent="0.4">
      <c r="C248" s="134"/>
      <c r="L248" s="125"/>
    </row>
    <row r="249" spans="1:14" ht="24" customHeight="1" x14ac:dyDescent="0.4">
      <c r="C249" s="134"/>
      <c r="L249" s="125"/>
    </row>
    <row r="250" spans="1:14" ht="24" customHeight="1" x14ac:dyDescent="0.4">
      <c r="C250" s="134"/>
      <c r="L250" s="125"/>
    </row>
    <row r="251" spans="1:14" ht="24" customHeight="1" x14ac:dyDescent="0.4">
      <c r="C251" s="134"/>
      <c r="L251" s="125"/>
    </row>
    <row r="252" spans="1:14" ht="24" customHeight="1" x14ac:dyDescent="0.4">
      <c r="C252" s="134"/>
      <c r="L252" s="125"/>
    </row>
    <row r="253" spans="1:14" ht="24" customHeight="1" x14ac:dyDescent="0.4">
      <c r="C253" s="134"/>
      <c r="L253" s="125"/>
    </row>
    <row r="254" spans="1:14" ht="24" customHeight="1" x14ac:dyDescent="0.4">
      <c r="C254" s="134"/>
      <c r="L254" s="125"/>
    </row>
    <row r="255" spans="1:14" ht="24" customHeight="1" x14ac:dyDescent="0.4">
      <c r="C255" s="134"/>
      <c r="L255" s="125"/>
    </row>
    <row r="256" spans="1:14" ht="24" customHeight="1" x14ac:dyDescent="0.4">
      <c r="C256" s="134"/>
      <c r="L256" s="125"/>
    </row>
    <row r="257" spans="3:12" ht="24" customHeight="1" x14ac:dyDescent="0.4">
      <c r="C257" s="134"/>
      <c r="L257" s="125"/>
    </row>
    <row r="258" spans="3:12" ht="24" customHeight="1" x14ac:dyDescent="0.4">
      <c r="C258" s="134"/>
      <c r="L258" s="125"/>
    </row>
    <row r="259" spans="3:12" ht="24" customHeight="1" x14ac:dyDescent="0.4">
      <c r="C259" s="134"/>
      <c r="L259" s="125"/>
    </row>
    <row r="260" spans="3:12" ht="24" customHeight="1" x14ac:dyDescent="0.4">
      <c r="C260" s="134"/>
      <c r="L260" s="125"/>
    </row>
    <row r="261" spans="3:12" ht="24" customHeight="1" x14ac:dyDescent="0.4">
      <c r="C261" s="134"/>
      <c r="L261" s="125"/>
    </row>
    <row r="262" spans="3:12" ht="24" customHeight="1" x14ac:dyDescent="0.4">
      <c r="C262" s="134"/>
      <c r="L262" s="125"/>
    </row>
    <row r="263" spans="3:12" ht="24" customHeight="1" x14ac:dyDescent="0.4">
      <c r="C263" s="134"/>
      <c r="L263" s="125"/>
    </row>
    <row r="264" spans="3:12" ht="24" customHeight="1" x14ac:dyDescent="0.4">
      <c r="C264" s="134"/>
      <c r="L264" s="125"/>
    </row>
    <row r="265" spans="3:12" ht="24" customHeight="1" x14ac:dyDescent="0.4">
      <c r="C265" s="134"/>
      <c r="L265" s="125"/>
    </row>
    <row r="266" spans="3:12" ht="24" customHeight="1" x14ac:dyDescent="0.4">
      <c r="C266" s="134"/>
      <c r="L266" s="125"/>
    </row>
    <row r="267" spans="3:12" ht="24" customHeight="1" x14ac:dyDescent="0.4">
      <c r="C267" s="134"/>
      <c r="L267" s="125"/>
    </row>
    <row r="268" spans="3:12" ht="24" customHeight="1" x14ac:dyDescent="0.4">
      <c r="C268" s="134"/>
      <c r="L268" s="125"/>
    </row>
    <row r="269" spans="3:12" ht="24" customHeight="1" x14ac:dyDescent="0.4">
      <c r="C269" s="134"/>
      <c r="L269" s="125"/>
    </row>
    <row r="270" spans="3:12" ht="24" customHeight="1" x14ac:dyDescent="0.4">
      <c r="C270" s="134"/>
      <c r="L270" s="125"/>
    </row>
    <row r="271" spans="3:12" ht="24" customHeight="1" x14ac:dyDescent="0.4">
      <c r="C271" s="134"/>
      <c r="L271" s="125"/>
    </row>
    <row r="272" spans="3:12" ht="24" customHeight="1" x14ac:dyDescent="0.4">
      <c r="C272" s="134"/>
      <c r="L272" s="125"/>
    </row>
    <row r="273" spans="3:12" ht="24" customHeight="1" x14ac:dyDescent="0.4">
      <c r="C273" s="134"/>
      <c r="L273" s="125"/>
    </row>
    <row r="274" spans="3:12" ht="24" customHeight="1" x14ac:dyDescent="0.4">
      <c r="C274" s="134"/>
      <c r="L274" s="125"/>
    </row>
    <row r="275" spans="3:12" ht="24" customHeight="1" x14ac:dyDescent="0.4">
      <c r="C275" s="134"/>
      <c r="L275" s="125"/>
    </row>
    <row r="276" spans="3:12" ht="24" customHeight="1" x14ac:dyDescent="0.4">
      <c r="C276" s="134"/>
      <c r="L276" s="125"/>
    </row>
    <row r="277" spans="3:12" ht="24" customHeight="1" x14ac:dyDescent="0.4">
      <c r="C277" s="134"/>
      <c r="L277" s="125"/>
    </row>
    <row r="278" spans="3:12" ht="24" customHeight="1" x14ac:dyDescent="0.4">
      <c r="C278" s="134"/>
      <c r="L278" s="125"/>
    </row>
    <row r="279" spans="3:12" ht="24" customHeight="1" x14ac:dyDescent="0.4">
      <c r="C279" s="134"/>
      <c r="L279" s="125"/>
    </row>
    <row r="280" spans="3:12" ht="24" customHeight="1" x14ac:dyDescent="0.4">
      <c r="C280" s="134"/>
      <c r="L280" s="125"/>
    </row>
    <row r="281" spans="3:12" ht="24" customHeight="1" x14ac:dyDescent="0.4">
      <c r="C281" s="134"/>
      <c r="L281" s="125"/>
    </row>
    <row r="282" spans="3:12" ht="24" customHeight="1" x14ac:dyDescent="0.4">
      <c r="C282" s="134"/>
      <c r="L282" s="125"/>
    </row>
    <row r="283" spans="3:12" ht="24" customHeight="1" x14ac:dyDescent="0.4">
      <c r="C283" s="134"/>
      <c r="L283" s="125"/>
    </row>
    <row r="284" spans="3:12" ht="24" customHeight="1" x14ac:dyDescent="0.4">
      <c r="C284" s="134"/>
      <c r="L284" s="125"/>
    </row>
    <row r="285" spans="3:12" ht="24" customHeight="1" x14ac:dyDescent="0.4">
      <c r="C285" s="134"/>
      <c r="L285" s="125"/>
    </row>
    <row r="286" spans="3:12" ht="24" customHeight="1" x14ac:dyDescent="0.4">
      <c r="C286" s="134"/>
      <c r="L286" s="125"/>
    </row>
    <row r="287" spans="3:12" ht="24" customHeight="1" x14ac:dyDescent="0.4">
      <c r="C287" s="134"/>
      <c r="L287" s="125"/>
    </row>
    <row r="288" spans="3:12" ht="24" customHeight="1" x14ac:dyDescent="0.4">
      <c r="C288" s="134"/>
      <c r="L288" s="125"/>
    </row>
    <row r="289" spans="3:12" ht="24" customHeight="1" x14ac:dyDescent="0.4">
      <c r="C289" s="134"/>
      <c r="L289" s="125"/>
    </row>
    <row r="290" spans="3:12" ht="24" customHeight="1" x14ac:dyDescent="0.4">
      <c r="C290" s="134"/>
      <c r="L290" s="125"/>
    </row>
    <row r="291" spans="3:12" ht="24" customHeight="1" x14ac:dyDescent="0.4">
      <c r="C291" s="134"/>
      <c r="L291" s="125"/>
    </row>
    <row r="292" spans="3:12" ht="24" customHeight="1" x14ac:dyDescent="0.4">
      <c r="C292" s="134"/>
      <c r="L292" s="125"/>
    </row>
    <row r="293" spans="3:12" ht="24" customHeight="1" x14ac:dyDescent="0.4">
      <c r="C293" s="134"/>
      <c r="L293" s="125"/>
    </row>
    <row r="294" spans="3:12" ht="24" customHeight="1" x14ac:dyDescent="0.4">
      <c r="C294" s="134"/>
      <c r="L294" s="125"/>
    </row>
    <row r="295" spans="3:12" ht="24" customHeight="1" x14ac:dyDescent="0.4">
      <c r="C295" s="134"/>
      <c r="L295" s="125"/>
    </row>
    <row r="296" spans="3:12" ht="24" customHeight="1" x14ac:dyDescent="0.4">
      <c r="C296" s="134"/>
      <c r="L296" s="125"/>
    </row>
    <row r="297" spans="3:12" ht="24" customHeight="1" x14ac:dyDescent="0.4">
      <c r="C297" s="134"/>
      <c r="L297" s="125"/>
    </row>
    <row r="298" spans="3:12" ht="24" customHeight="1" x14ac:dyDescent="0.4">
      <c r="C298" s="134"/>
      <c r="L298" s="125"/>
    </row>
    <row r="299" spans="3:12" ht="24" customHeight="1" x14ac:dyDescent="0.4">
      <c r="C299" s="134"/>
      <c r="L299" s="125"/>
    </row>
    <row r="300" spans="3:12" ht="24" customHeight="1" x14ac:dyDescent="0.4">
      <c r="C300" s="134"/>
      <c r="L300" s="125"/>
    </row>
    <row r="301" spans="3:12" ht="24" customHeight="1" x14ac:dyDescent="0.4">
      <c r="C301" s="134"/>
      <c r="L301" s="125"/>
    </row>
    <row r="302" spans="3:12" ht="24" customHeight="1" x14ac:dyDescent="0.4">
      <c r="C302" s="134"/>
      <c r="L302" s="125"/>
    </row>
    <row r="303" spans="3:12" ht="24" customHeight="1" x14ac:dyDescent="0.4">
      <c r="C303" s="134"/>
      <c r="L303" s="125"/>
    </row>
    <row r="304" spans="3:12" ht="24" customHeight="1" x14ac:dyDescent="0.4">
      <c r="C304" s="134"/>
      <c r="L304" s="125"/>
    </row>
    <row r="305" spans="3:12" ht="24" customHeight="1" x14ac:dyDescent="0.4">
      <c r="C305" s="134"/>
      <c r="L305" s="125"/>
    </row>
    <row r="306" spans="3:12" ht="24" customHeight="1" x14ac:dyDescent="0.4">
      <c r="C306" s="134"/>
      <c r="L306" s="125"/>
    </row>
    <row r="307" spans="3:12" ht="24" customHeight="1" x14ac:dyDescent="0.4">
      <c r="C307" s="134"/>
      <c r="L307" s="125"/>
    </row>
    <row r="308" spans="3:12" ht="24" customHeight="1" x14ac:dyDescent="0.4">
      <c r="C308" s="134"/>
      <c r="L308" s="125"/>
    </row>
    <row r="309" spans="3:12" ht="24" customHeight="1" x14ac:dyDescent="0.4">
      <c r="C309" s="134"/>
      <c r="L309" s="125"/>
    </row>
    <row r="310" spans="3:12" ht="24" customHeight="1" x14ac:dyDescent="0.4">
      <c r="C310" s="134"/>
      <c r="L310" s="125"/>
    </row>
    <row r="311" spans="3:12" ht="24" customHeight="1" x14ac:dyDescent="0.4">
      <c r="C311" s="134"/>
      <c r="L311" s="125"/>
    </row>
    <row r="312" spans="3:12" ht="24" customHeight="1" x14ac:dyDescent="0.4">
      <c r="C312" s="134"/>
      <c r="L312" s="125"/>
    </row>
    <row r="313" spans="3:12" ht="24" customHeight="1" x14ac:dyDescent="0.4">
      <c r="C313" s="134"/>
      <c r="L313" s="125"/>
    </row>
    <row r="314" spans="3:12" ht="24" customHeight="1" x14ac:dyDescent="0.4">
      <c r="C314" s="134"/>
      <c r="L314" s="125"/>
    </row>
    <row r="315" spans="3:12" ht="24" customHeight="1" x14ac:dyDescent="0.4">
      <c r="C315" s="134"/>
      <c r="L315" s="125"/>
    </row>
    <row r="316" spans="3:12" ht="24" customHeight="1" x14ac:dyDescent="0.4">
      <c r="C316" s="134"/>
      <c r="L316" s="125"/>
    </row>
    <row r="317" spans="3:12" ht="24" customHeight="1" x14ac:dyDescent="0.4">
      <c r="C317" s="134"/>
      <c r="L317" s="125"/>
    </row>
    <row r="318" spans="3:12" ht="24" customHeight="1" x14ac:dyDescent="0.4">
      <c r="C318" s="134"/>
      <c r="L318" s="125"/>
    </row>
    <row r="319" spans="3:12" ht="24" customHeight="1" x14ac:dyDescent="0.4">
      <c r="C319" s="134"/>
      <c r="L319" s="125"/>
    </row>
    <row r="320" spans="3:12" ht="24" customHeight="1" x14ac:dyDescent="0.4">
      <c r="C320" s="134"/>
      <c r="L320" s="125"/>
    </row>
    <row r="321" spans="3:12" ht="24" customHeight="1" x14ac:dyDescent="0.4">
      <c r="C321" s="134"/>
      <c r="L321" s="125"/>
    </row>
    <row r="322" spans="3:12" ht="24" customHeight="1" x14ac:dyDescent="0.4">
      <c r="C322" s="134"/>
      <c r="L322" s="125"/>
    </row>
    <row r="323" spans="3:12" ht="24" customHeight="1" x14ac:dyDescent="0.4">
      <c r="C323" s="134"/>
      <c r="L323" s="125"/>
    </row>
    <row r="324" spans="3:12" ht="24" customHeight="1" x14ac:dyDescent="0.4">
      <c r="C324" s="134"/>
      <c r="L324" s="125"/>
    </row>
    <row r="325" spans="3:12" ht="24" customHeight="1" x14ac:dyDescent="0.4">
      <c r="C325" s="134"/>
      <c r="L325" s="125"/>
    </row>
    <row r="326" spans="3:12" ht="24" customHeight="1" x14ac:dyDescent="0.4">
      <c r="C326" s="134"/>
      <c r="L326" s="125"/>
    </row>
    <row r="327" spans="3:12" ht="24" customHeight="1" x14ac:dyDescent="0.4">
      <c r="C327" s="134"/>
      <c r="L327" s="125"/>
    </row>
    <row r="328" spans="3:12" ht="24" customHeight="1" x14ac:dyDescent="0.4">
      <c r="C328" s="134"/>
      <c r="L328" s="125"/>
    </row>
    <row r="329" spans="3:12" ht="24" customHeight="1" x14ac:dyDescent="0.4">
      <c r="C329" s="134"/>
      <c r="L329" s="125"/>
    </row>
    <row r="330" spans="3:12" ht="24" customHeight="1" x14ac:dyDescent="0.4">
      <c r="C330" s="134"/>
      <c r="L330" s="125"/>
    </row>
    <row r="331" spans="3:12" ht="24" customHeight="1" x14ac:dyDescent="0.4">
      <c r="C331" s="134"/>
      <c r="L331" s="125"/>
    </row>
    <row r="332" spans="3:12" ht="24" customHeight="1" x14ac:dyDescent="0.4">
      <c r="C332" s="134"/>
      <c r="L332" s="125"/>
    </row>
    <row r="333" spans="3:12" ht="24" customHeight="1" x14ac:dyDescent="0.4">
      <c r="C333" s="134"/>
      <c r="L333" s="125"/>
    </row>
    <row r="334" spans="3:12" ht="24" customHeight="1" x14ac:dyDescent="0.4">
      <c r="C334" s="134"/>
      <c r="L334" s="125"/>
    </row>
    <row r="335" spans="3:12" ht="24" customHeight="1" x14ac:dyDescent="0.4">
      <c r="C335" s="134"/>
      <c r="L335" s="125"/>
    </row>
    <row r="336" spans="3:12" ht="24" customHeight="1" x14ac:dyDescent="0.4">
      <c r="C336" s="134"/>
      <c r="L336" s="125"/>
    </row>
    <row r="337" spans="3:12" ht="24" customHeight="1" x14ac:dyDescent="0.4">
      <c r="C337" s="134"/>
      <c r="L337" s="125"/>
    </row>
    <row r="338" spans="3:12" ht="24" customHeight="1" x14ac:dyDescent="0.4">
      <c r="C338" s="134"/>
      <c r="L338" s="125"/>
    </row>
    <row r="339" spans="3:12" ht="24" customHeight="1" x14ac:dyDescent="0.4">
      <c r="C339" s="134"/>
      <c r="L339" s="125"/>
    </row>
    <row r="340" spans="3:12" ht="24" customHeight="1" x14ac:dyDescent="0.4">
      <c r="C340" s="134"/>
      <c r="L340" s="125"/>
    </row>
    <row r="341" spans="3:12" ht="24" customHeight="1" x14ac:dyDescent="0.4">
      <c r="C341" s="134"/>
      <c r="L341" s="125"/>
    </row>
    <row r="342" spans="3:12" ht="24" customHeight="1" x14ac:dyDescent="0.4">
      <c r="C342" s="134"/>
      <c r="L342" s="125"/>
    </row>
    <row r="343" spans="3:12" ht="24" customHeight="1" x14ac:dyDescent="0.4">
      <c r="C343" s="134"/>
      <c r="L343" s="125"/>
    </row>
    <row r="344" spans="3:12" ht="24" customHeight="1" x14ac:dyDescent="0.4">
      <c r="C344" s="134"/>
      <c r="L344" s="125"/>
    </row>
    <row r="345" spans="3:12" ht="24" customHeight="1" x14ac:dyDescent="0.4">
      <c r="C345" s="134"/>
      <c r="L345" s="125"/>
    </row>
    <row r="346" spans="3:12" ht="24" customHeight="1" x14ac:dyDescent="0.4">
      <c r="C346" s="134"/>
      <c r="L346" s="125"/>
    </row>
    <row r="347" spans="3:12" ht="24" customHeight="1" x14ac:dyDescent="0.4">
      <c r="C347" s="134"/>
      <c r="L347" s="125"/>
    </row>
    <row r="348" spans="3:12" ht="24" customHeight="1" x14ac:dyDescent="0.4">
      <c r="C348" s="134"/>
      <c r="L348" s="125"/>
    </row>
    <row r="349" spans="3:12" ht="24" customHeight="1" x14ac:dyDescent="0.4">
      <c r="C349" s="134"/>
      <c r="L349" s="125"/>
    </row>
    <row r="350" spans="3:12" ht="24" customHeight="1" x14ac:dyDescent="0.4">
      <c r="C350" s="134"/>
      <c r="L350" s="125"/>
    </row>
    <row r="351" spans="3:12" ht="24" customHeight="1" x14ac:dyDescent="0.4">
      <c r="C351" s="134"/>
      <c r="L351" s="125"/>
    </row>
    <row r="352" spans="3:12" ht="24" customHeight="1" x14ac:dyDescent="0.4">
      <c r="C352" s="134"/>
      <c r="L352" s="125"/>
    </row>
    <row r="353" spans="3:12" ht="24" customHeight="1" x14ac:dyDescent="0.4">
      <c r="C353" s="134"/>
      <c r="L353" s="125"/>
    </row>
    <row r="354" spans="3:12" ht="24" customHeight="1" x14ac:dyDescent="0.4">
      <c r="C354" s="134"/>
      <c r="L354" s="125"/>
    </row>
    <row r="355" spans="3:12" ht="24" customHeight="1" x14ac:dyDescent="0.4">
      <c r="C355" s="134"/>
      <c r="L355" s="125"/>
    </row>
    <row r="356" spans="3:12" ht="24" customHeight="1" x14ac:dyDescent="0.4">
      <c r="C356" s="134"/>
      <c r="L356" s="125"/>
    </row>
    <row r="357" spans="3:12" ht="24" customHeight="1" x14ac:dyDescent="0.4">
      <c r="C357" s="134"/>
      <c r="L357" s="125"/>
    </row>
    <row r="358" spans="3:12" ht="24" customHeight="1" x14ac:dyDescent="0.4">
      <c r="C358" s="134"/>
      <c r="L358" s="125"/>
    </row>
    <row r="359" spans="3:12" ht="24" customHeight="1" x14ac:dyDescent="0.4">
      <c r="C359" s="134"/>
      <c r="L359" s="125"/>
    </row>
    <row r="360" spans="3:12" ht="24" customHeight="1" x14ac:dyDescent="0.4">
      <c r="C360" s="134"/>
      <c r="L360" s="125"/>
    </row>
    <row r="361" spans="3:12" ht="24" customHeight="1" x14ac:dyDescent="0.4">
      <c r="C361" s="134"/>
      <c r="L361" s="125"/>
    </row>
    <row r="362" spans="3:12" ht="24" customHeight="1" x14ac:dyDescent="0.4">
      <c r="C362" s="134"/>
      <c r="L362" s="125"/>
    </row>
    <row r="363" spans="3:12" ht="24" customHeight="1" x14ac:dyDescent="0.4">
      <c r="C363" s="134"/>
      <c r="L363" s="125"/>
    </row>
    <row r="364" spans="3:12" ht="24" customHeight="1" x14ac:dyDescent="0.4">
      <c r="C364" s="134"/>
      <c r="L364" s="125"/>
    </row>
    <row r="365" spans="3:12" ht="24" customHeight="1" x14ac:dyDescent="0.4">
      <c r="C365" s="134"/>
      <c r="L365" s="125"/>
    </row>
    <row r="366" spans="3:12" ht="24" customHeight="1" x14ac:dyDescent="0.4">
      <c r="C366" s="134"/>
      <c r="L366" s="125"/>
    </row>
    <row r="367" spans="3:12" ht="24" customHeight="1" x14ac:dyDescent="0.4">
      <c r="C367" s="134"/>
      <c r="L367" s="125"/>
    </row>
    <row r="368" spans="3:12" ht="24" customHeight="1" x14ac:dyDescent="0.4">
      <c r="C368" s="134"/>
      <c r="L368" s="125"/>
    </row>
    <row r="369" spans="3:12" ht="24" customHeight="1" x14ac:dyDescent="0.4">
      <c r="C369" s="134"/>
      <c r="L369" s="125"/>
    </row>
    <row r="370" spans="3:12" ht="24" customHeight="1" x14ac:dyDescent="0.4">
      <c r="C370" s="134"/>
      <c r="L370" s="125"/>
    </row>
    <row r="371" spans="3:12" ht="24" customHeight="1" x14ac:dyDescent="0.4">
      <c r="C371" s="134"/>
      <c r="L371" s="125"/>
    </row>
    <row r="372" spans="3:12" ht="24" customHeight="1" x14ac:dyDescent="0.4">
      <c r="C372" s="134"/>
      <c r="L372" s="125"/>
    </row>
    <row r="373" spans="3:12" ht="24" customHeight="1" x14ac:dyDescent="0.4">
      <c r="C373" s="134"/>
      <c r="L373" s="125"/>
    </row>
    <row r="374" spans="3:12" ht="24" customHeight="1" x14ac:dyDescent="0.4">
      <c r="C374" s="134"/>
      <c r="L374" s="125"/>
    </row>
    <row r="375" spans="3:12" ht="24" customHeight="1" x14ac:dyDescent="0.4">
      <c r="C375" s="134"/>
      <c r="L375" s="125"/>
    </row>
    <row r="376" spans="3:12" ht="24" customHeight="1" x14ac:dyDescent="0.4">
      <c r="C376" s="134"/>
      <c r="L376" s="125"/>
    </row>
    <row r="377" spans="3:12" ht="24" customHeight="1" x14ac:dyDescent="0.4">
      <c r="C377" s="134"/>
      <c r="L377" s="125"/>
    </row>
    <row r="378" spans="3:12" ht="24" customHeight="1" x14ac:dyDescent="0.4">
      <c r="C378" s="134"/>
      <c r="L378" s="125"/>
    </row>
    <row r="379" spans="3:12" ht="24" customHeight="1" x14ac:dyDescent="0.4">
      <c r="C379" s="134"/>
      <c r="L379" s="125"/>
    </row>
    <row r="380" spans="3:12" ht="24" customHeight="1" x14ac:dyDescent="0.4">
      <c r="C380" s="134"/>
      <c r="L380" s="125"/>
    </row>
    <row r="381" spans="3:12" ht="24" customHeight="1" x14ac:dyDescent="0.4">
      <c r="C381" s="134"/>
      <c r="L381" s="125"/>
    </row>
    <row r="382" spans="3:12" ht="24" customHeight="1" x14ac:dyDescent="0.4">
      <c r="C382" s="134"/>
      <c r="L382" s="125"/>
    </row>
    <row r="383" spans="3:12" ht="24" customHeight="1" x14ac:dyDescent="0.4">
      <c r="C383" s="134"/>
      <c r="L383" s="125"/>
    </row>
    <row r="384" spans="3:12" ht="24" customHeight="1" x14ac:dyDescent="0.4">
      <c r="C384" s="134"/>
      <c r="L384" s="125"/>
    </row>
    <row r="385" spans="3:12" ht="24" customHeight="1" x14ac:dyDescent="0.4">
      <c r="C385" s="134"/>
      <c r="L385" s="125"/>
    </row>
    <row r="386" spans="3:12" ht="24" customHeight="1" x14ac:dyDescent="0.4">
      <c r="C386" s="134"/>
      <c r="L386" s="125"/>
    </row>
    <row r="387" spans="3:12" ht="24" customHeight="1" x14ac:dyDescent="0.4">
      <c r="C387" s="134"/>
      <c r="L387" s="125"/>
    </row>
    <row r="388" spans="3:12" ht="24" customHeight="1" x14ac:dyDescent="0.4">
      <c r="C388" s="134"/>
      <c r="L388" s="125"/>
    </row>
    <row r="389" spans="3:12" ht="24" customHeight="1" x14ac:dyDescent="0.4">
      <c r="C389" s="134"/>
      <c r="L389" s="125"/>
    </row>
    <row r="390" spans="3:12" ht="24" customHeight="1" x14ac:dyDescent="0.4">
      <c r="C390" s="134"/>
      <c r="L390" s="125"/>
    </row>
    <row r="391" spans="3:12" ht="24" customHeight="1" x14ac:dyDescent="0.4">
      <c r="C391" s="134"/>
      <c r="L391" s="125"/>
    </row>
    <row r="392" spans="3:12" ht="24" customHeight="1" x14ac:dyDescent="0.4">
      <c r="C392" s="134"/>
      <c r="L392" s="125"/>
    </row>
    <row r="393" spans="3:12" ht="24" customHeight="1" x14ac:dyDescent="0.4">
      <c r="C393" s="134"/>
      <c r="L393" s="125"/>
    </row>
    <row r="394" spans="3:12" ht="24" customHeight="1" x14ac:dyDescent="0.4">
      <c r="C394" s="134"/>
      <c r="L394" s="125"/>
    </row>
    <row r="395" spans="3:12" ht="24" customHeight="1" x14ac:dyDescent="0.4">
      <c r="C395" s="134"/>
      <c r="L395" s="125"/>
    </row>
    <row r="396" spans="3:12" ht="24" customHeight="1" x14ac:dyDescent="0.4">
      <c r="C396" s="134"/>
      <c r="L396" s="125"/>
    </row>
    <row r="397" spans="3:12" ht="24" customHeight="1" x14ac:dyDescent="0.4">
      <c r="C397" s="134"/>
      <c r="L397" s="125"/>
    </row>
    <row r="398" spans="3:12" ht="24" customHeight="1" x14ac:dyDescent="0.4">
      <c r="C398" s="134"/>
      <c r="L398" s="125"/>
    </row>
    <row r="399" spans="3:12" ht="24" customHeight="1" x14ac:dyDescent="0.4">
      <c r="C399" s="134"/>
      <c r="L399" s="125"/>
    </row>
    <row r="400" spans="3:12" ht="24" customHeight="1" x14ac:dyDescent="0.4">
      <c r="C400" s="134"/>
      <c r="L400" s="125"/>
    </row>
    <row r="401" spans="3:12" ht="24" customHeight="1" x14ac:dyDescent="0.4">
      <c r="C401" s="134"/>
      <c r="L401" s="125"/>
    </row>
    <row r="402" spans="3:12" ht="24" customHeight="1" x14ac:dyDescent="0.4">
      <c r="C402" s="134"/>
      <c r="L402" s="125"/>
    </row>
    <row r="403" spans="3:12" ht="24" customHeight="1" x14ac:dyDescent="0.4">
      <c r="C403" s="134"/>
      <c r="L403" s="125"/>
    </row>
    <row r="404" spans="3:12" ht="24" customHeight="1" x14ac:dyDescent="0.4">
      <c r="C404" s="134"/>
      <c r="L404" s="125"/>
    </row>
    <row r="405" spans="3:12" ht="24" customHeight="1" x14ac:dyDescent="0.4">
      <c r="C405" s="134"/>
      <c r="L405" s="125"/>
    </row>
    <row r="406" spans="3:12" ht="24" customHeight="1" x14ac:dyDescent="0.4">
      <c r="C406" s="134"/>
      <c r="L406" s="125"/>
    </row>
    <row r="407" spans="3:12" ht="24" customHeight="1" x14ac:dyDescent="0.4">
      <c r="C407" s="134"/>
      <c r="L407" s="125"/>
    </row>
    <row r="408" spans="3:12" ht="24" customHeight="1" x14ac:dyDescent="0.4">
      <c r="C408" s="134"/>
      <c r="L408" s="125"/>
    </row>
    <row r="409" spans="3:12" ht="24" customHeight="1" x14ac:dyDescent="0.4">
      <c r="C409" s="134"/>
      <c r="L409" s="125"/>
    </row>
    <row r="410" spans="3:12" ht="24" customHeight="1" x14ac:dyDescent="0.4">
      <c r="C410" s="134"/>
      <c r="L410" s="125"/>
    </row>
    <row r="411" spans="3:12" ht="24" customHeight="1" x14ac:dyDescent="0.4">
      <c r="C411" s="134"/>
      <c r="L411" s="125"/>
    </row>
    <row r="412" spans="3:12" ht="24" customHeight="1" x14ac:dyDescent="0.4">
      <c r="C412" s="134"/>
      <c r="L412" s="125"/>
    </row>
    <row r="413" spans="3:12" ht="24" customHeight="1" x14ac:dyDescent="0.4">
      <c r="C413" s="134"/>
      <c r="L413" s="125"/>
    </row>
    <row r="414" spans="3:12" ht="24" customHeight="1" x14ac:dyDescent="0.4">
      <c r="C414" s="134"/>
      <c r="L414" s="125"/>
    </row>
    <row r="415" spans="3:12" ht="24" customHeight="1" x14ac:dyDescent="0.4">
      <c r="C415" s="134"/>
      <c r="L415" s="125"/>
    </row>
    <row r="416" spans="3:12" ht="24" customHeight="1" x14ac:dyDescent="0.4">
      <c r="C416" s="134"/>
      <c r="L416" s="125"/>
    </row>
    <row r="417" spans="3:12" ht="24" customHeight="1" x14ac:dyDescent="0.4">
      <c r="C417" s="134"/>
      <c r="L417" s="125"/>
    </row>
    <row r="418" spans="3:12" ht="24" customHeight="1" x14ac:dyDescent="0.4">
      <c r="C418" s="134"/>
      <c r="L418" s="125"/>
    </row>
    <row r="419" spans="3:12" ht="24" customHeight="1" x14ac:dyDescent="0.4">
      <c r="C419" s="134"/>
      <c r="L419" s="125"/>
    </row>
    <row r="420" spans="3:12" ht="24" customHeight="1" x14ac:dyDescent="0.4">
      <c r="C420" s="134"/>
      <c r="L420" s="125"/>
    </row>
    <row r="421" spans="3:12" ht="24" customHeight="1" x14ac:dyDescent="0.4">
      <c r="C421" s="134"/>
      <c r="L421" s="125"/>
    </row>
    <row r="422" spans="3:12" ht="24" customHeight="1" x14ac:dyDescent="0.4">
      <c r="C422" s="134"/>
      <c r="L422" s="125"/>
    </row>
    <row r="423" spans="3:12" ht="24" customHeight="1" x14ac:dyDescent="0.4">
      <c r="C423" s="134"/>
      <c r="L423" s="125"/>
    </row>
    <row r="424" spans="3:12" ht="24" customHeight="1" x14ac:dyDescent="0.4">
      <c r="C424" s="134"/>
      <c r="L424" s="125"/>
    </row>
    <row r="425" spans="3:12" ht="24" customHeight="1" x14ac:dyDescent="0.4">
      <c r="C425" s="134"/>
      <c r="L425" s="125"/>
    </row>
    <row r="426" spans="3:12" ht="24" customHeight="1" x14ac:dyDescent="0.4">
      <c r="C426" s="134"/>
      <c r="L426" s="125"/>
    </row>
    <row r="427" spans="3:12" ht="24" customHeight="1" x14ac:dyDescent="0.4">
      <c r="C427" s="134"/>
      <c r="L427" s="125"/>
    </row>
    <row r="428" spans="3:12" ht="24" customHeight="1" x14ac:dyDescent="0.4">
      <c r="C428" s="134"/>
      <c r="L428" s="125"/>
    </row>
    <row r="429" spans="3:12" ht="24" customHeight="1" x14ac:dyDescent="0.4">
      <c r="C429" s="134"/>
      <c r="L429" s="125"/>
    </row>
    <row r="430" spans="3:12" ht="24" customHeight="1" x14ac:dyDescent="0.4">
      <c r="C430" s="134"/>
      <c r="L430" s="125"/>
    </row>
    <row r="431" spans="3:12" ht="24" customHeight="1" x14ac:dyDescent="0.4">
      <c r="C431" s="134"/>
      <c r="L431" s="125"/>
    </row>
    <row r="432" spans="3:12" ht="24" customHeight="1" x14ac:dyDescent="0.4">
      <c r="C432" s="134"/>
      <c r="L432" s="125"/>
    </row>
    <row r="433" spans="3:12" ht="24" customHeight="1" x14ac:dyDescent="0.4">
      <c r="C433" s="134"/>
      <c r="L433" s="125"/>
    </row>
    <row r="434" spans="3:12" ht="24" customHeight="1" x14ac:dyDescent="0.4">
      <c r="C434" s="134"/>
      <c r="L434" s="125"/>
    </row>
    <row r="435" spans="3:12" ht="24" customHeight="1" x14ac:dyDescent="0.4">
      <c r="C435" s="134"/>
      <c r="L435" s="125"/>
    </row>
    <row r="436" spans="3:12" ht="24" customHeight="1" x14ac:dyDescent="0.4">
      <c r="C436" s="134"/>
      <c r="L436" s="125"/>
    </row>
    <row r="437" spans="3:12" ht="24" customHeight="1" x14ac:dyDescent="0.4">
      <c r="C437" s="134"/>
      <c r="L437" s="125"/>
    </row>
    <row r="438" spans="3:12" ht="24" customHeight="1" x14ac:dyDescent="0.4">
      <c r="C438" s="134"/>
      <c r="L438" s="125"/>
    </row>
    <row r="439" spans="3:12" ht="24" customHeight="1" x14ac:dyDescent="0.4">
      <c r="C439" s="134"/>
      <c r="L439" s="125"/>
    </row>
    <row r="440" spans="3:12" ht="24" customHeight="1" x14ac:dyDescent="0.4">
      <c r="C440" s="134"/>
      <c r="L440" s="125"/>
    </row>
    <row r="441" spans="3:12" ht="24" customHeight="1" x14ac:dyDescent="0.4">
      <c r="C441" s="134"/>
      <c r="L441" s="125"/>
    </row>
    <row r="442" spans="3:12" ht="24" customHeight="1" x14ac:dyDescent="0.4">
      <c r="C442" s="134"/>
      <c r="L442" s="125"/>
    </row>
    <row r="443" spans="3:12" ht="24" customHeight="1" x14ac:dyDescent="0.4">
      <c r="C443" s="134"/>
      <c r="L443" s="125"/>
    </row>
    <row r="444" spans="3:12" ht="24" customHeight="1" x14ac:dyDescent="0.4">
      <c r="C444" s="134"/>
      <c r="L444" s="125"/>
    </row>
    <row r="445" spans="3:12" ht="24" customHeight="1" x14ac:dyDescent="0.4">
      <c r="C445" s="134"/>
      <c r="L445" s="125"/>
    </row>
    <row r="446" spans="3:12" ht="24" customHeight="1" x14ac:dyDescent="0.4">
      <c r="C446" s="134"/>
      <c r="L446" s="125"/>
    </row>
    <row r="447" spans="3:12" ht="24" customHeight="1" x14ac:dyDescent="0.4">
      <c r="C447" s="134"/>
      <c r="L447" s="125"/>
    </row>
    <row r="448" spans="3:12" ht="24" customHeight="1" x14ac:dyDescent="0.4">
      <c r="C448" s="134"/>
      <c r="L448" s="125"/>
    </row>
    <row r="449" spans="3:12" ht="24" customHeight="1" x14ac:dyDescent="0.4">
      <c r="C449" s="134"/>
      <c r="L449" s="125"/>
    </row>
    <row r="450" spans="3:12" ht="24" customHeight="1" x14ac:dyDescent="0.4">
      <c r="C450" s="134"/>
      <c r="L450" s="125"/>
    </row>
    <row r="451" spans="3:12" ht="24" customHeight="1" x14ac:dyDescent="0.4">
      <c r="C451" s="134"/>
      <c r="L451" s="125"/>
    </row>
    <row r="452" spans="3:12" ht="24" customHeight="1" x14ac:dyDescent="0.4">
      <c r="C452" s="134"/>
      <c r="L452" s="125"/>
    </row>
    <row r="453" spans="3:12" ht="24" customHeight="1" x14ac:dyDescent="0.4">
      <c r="C453" s="134"/>
      <c r="L453" s="125"/>
    </row>
    <row r="454" spans="3:12" ht="24" customHeight="1" x14ac:dyDescent="0.4">
      <c r="C454" s="134"/>
      <c r="L454" s="125"/>
    </row>
    <row r="455" spans="3:12" ht="24" customHeight="1" x14ac:dyDescent="0.4">
      <c r="C455" s="134"/>
      <c r="L455" s="125"/>
    </row>
    <row r="456" spans="3:12" ht="24" customHeight="1" x14ac:dyDescent="0.4">
      <c r="C456" s="134"/>
      <c r="L456" s="125"/>
    </row>
    <row r="457" spans="3:12" ht="24" customHeight="1" x14ac:dyDescent="0.4">
      <c r="C457" s="134"/>
      <c r="L457" s="125"/>
    </row>
    <row r="458" spans="3:12" ht="24" customHeight="1" x14ac:dyDescent="0.4">
      <c r="C458" s="134"/>
      <c r="L458" s="125"/>
    </row>
    <row r="459" spans="3:12" ht="24" customHeight="1" x14ac:dyDescent="0.4">
      <c r="C459" s="134"/>
      <c r="L459" s="125"/>
    </row>
    <row r="460" spans="3:12" ht="24" customHeight="1" x14ac:dyDescent="0.4">
      <c r="C460" s="134"/>
      <c r="L460" s="125"/>
    </row>
    <row r="461" spans="3:12" ht="24" customHeight="1" x14ac:dyDescent="0.4">
      <c r="C461" s="134"/>
      <c r="L461" s="125"/>
    </row>
    <row r="462" spans="3:12" ht="24" customHeight="1" x14ac:dyDescent="0.4">
      <c r="C462" s="134"/>
      <c r="L462" s="125"/>
    </row>
    <row r="463" spans="3:12" ht="24" customHeight="1" x14ac:dyDescent="0.4">
      <c r="C463" s="134"/>
      <c r="L463" s="125"/>
    </row>
    <row r="464" spans="3:12" ht="24" customHeight="1" x14ac:dyDescent="0.4">
      <c r="C464" s="134"/>
      <c r="L464" s="125"/>
    </row>
    <row r="465" spans="3:12" ht="24" customHeight="1" x14ac:dyDescent="0.4">
      <c r="C465" s="134"/>
      <c r="L465" s="125"/>
    </row>
    <row r="466" spans="3:12" ht="24" customHeight="1" x14ac:dyDescent="0.4">
      <c r="C466" s="134"/>
      <c r="L466" s="125"/>
    </row>
    <row r="467" spans="3:12" ht="24" customHeight="1" x14ac:dyDescent="0.4">
      <c r="C467" s="134"/>
      <c r="L467" s="125"/>
    </row>
    <row r="468" spans="3:12" ht="24" customHeight="1" x14ac:dyDescent="0.4">
      <c r="C468" s="134"/>
      <c r="L468" s="125"/>
    </row>
    <row r="469" spans="3:12" ht="24" customHeight="1" x14ac:dyDescent="0.4">
      <c r="C469" s="134"/>
      <c r="L469" s="125"/>
    </row>
    <row r="470" spans="3:12" ht="24" customHeight="1" x14ac:dyDescent="0.4">
      <c r="C470" s="134"/>
      <c r="L470" s="125"/>
    </row>
    <row r="471" spans="3:12" ht="24" customHeight="1" x14ac:dyDescent="0.4">
      <c r="C471" s="134"/>
      <c r="L471" s="125"/>
    </row>
    <row r="472" spans="3:12" ht="24" customHeight="1" x14ac:dyDescent="0.4">
      <c r="C472" s="134"/>
      <c r="L472" s="125"/>
    </row>
    <row r="473" spans="3:12" ht="24" customHeight="1" x14ac:dyDescent="0.4">
      <c r="C473" s="134"/>
      <c r="L473" s="125"/>
    </row>
    <row r="474" spans="3:12" ht="24" customHeight="1" x14ac:dyDescent="0.4">
      <c r="C474" s="134"/>
      <c r="L474" s="125"/>
    </row>
    <row r="475" spans="3:12" ht="24" customHeight="1" x14ac:dyDescent="0.4">
      <c r="C475" s="134"/>
      <c r="L475" s="125"/>
    </row>
    <row r="476" spans="3:12" ht="24" customHeight="1" x14ac:dyDescent="0.4">
      <c r="C476" s="134"/>
      <c r="L476" s="125"/>
    </row>
    <row r="477" spans="3:12" ht="24" customHeight="1" x14ac:dyDescent="0.4">
      <c r="C477" s="134"/>
      <c r="L477" s="125"/>
    </row>
    <row r="478" spans="3:12" ht="24" customHeight="1" x14ac:dyDescent="0.4">
      <c r="C478" s="134"/>
      <c r="L478" s="125"/>
    </row>
    <row r="479" spans="3:12" ht="24" customHeight="1" x14ac:dyDescent="0.4">
      <c r="C479" s="134"/>
      <c r="L479" s="125"/>
    </row>
    <row r="480" spans="3:12" ht="24" customHeight="1" x14ac:dyDescent="0.4">
      <c r="C480" s="134"/>
      <c r="L480" s="125"/>
    </row>
    <row r="481" spans="3:12" ht="24" customHeight="1" x14ac:dyDescent="0.4">
      <c r="C481" s="134"/>
      <c r="L481" s="125"/>
    </row>
    <row r="482" spans="3:12" ht="24" customHeight="1" x14ac:dyDescent="0.4">
      <c r="C482" s="134"/>
      <c r="L482" s="125"/>
    </row>
    <row r="483" spans="3:12" ht="24" customHeight="1" x14ac:dyDescent="0.4">
      <c r="C483" s="134"/>
      <c r="L483" s="125"/>
    </row>
    <row r="484" spans="3:12" ht="24" customHeight="1" x14ac:dyDescent="0.4">
      <c r="C484" s="134"/>
      <c r="L484" s="125"/>
    </row>
    <row r="485" spans="3:12" ht="24" customHeight="1" x14ac:dyDescent="0.4">
      <c r="C485" s="134"/>
      <c r="L485" s="125"/>
    </row>
    <row r="486" spans="3:12" ht="24" customHeight="1" x14ac:dyDescent="0.4">
      <c r="C486" s="134"/>
      <c r="L486" s="125"/>
    </row>
    <row r="487" spans="3:12" ht="24" customHeight="1" x14ac:dyDescent="0.4">
      <c r="C487" s="134"/>
      <c r="L487" s="125"/>
    </row>
    <row r="488" spans="3:12" ht="24" customHeight="1" x14ac:dyDescent="0.4">
      <c r="C488" s="134"/>
      <c r="L488" s="125"/>
    </row>
    <row r="489" spans="3:12" ht="24" customHeight="1" x14ac:dyDescent="0.4">
      <c r="C489" s="134"/>
      <c r="L489" s="125"/>
    </row>
    <row r="490" spans="3:12" ht="24" customHeight="1" x14ac:dyDescent="0.4">
      <c r="C490" s="134"/>
      <c r="L490" s="125"/>
    </row>
    <row r="491" spans="3:12" ht="24" customHeight="1" x14ac:dyDescent="0.4">
      <c r="C491" s="134"/>
      <c r="L491" s="125"/>
    </row>
    <row r="492" spans="3:12" ht="24" customHeight="1" x14ac:dyDescent="0.4">
      <c r="C492" s="134"/>
      <c r="L492" s="125"/>
    </row>
    <row r="493" spans="3:12" ht="24" customHeight="1" x14ac:dyDescent="0.4">
      <c r="C493" s="134"/>
      <c r="L493" s="125"/>
    </row>
    <row r="494" spans="3:12" ht="24" customHeight="1" x14ac:dyDescent="0.4">
      <c r="C494" s="134"/>
      <c r="L494" s="125"/>
    </row>
    <row r="495" spans="3:12" ht="24" customHeight="1" x14ac:dyDescent="0.4">
      <c r="C495" s="134"/>
      <c r="L495" s="125"/>
    </row>
    <row r="496" spans="3:12" ht="24" customHeight="1" x14ac:dyDescent="0.4">
      <c r="C496" s="134"/>
      <c r="L496" s="125"/>
    </row>
    <row r="497" spans="3:12" ht="24" customHeight="1" x14ac:dyDescent="0.4">
      <c r="C497" s="134"/>
      <c r="L497" s="125"/>
    </row>
    <row r="498" spans="3:12" ht="24" customHeight="1" x14ac:dyDescent="0.4">
      <c r="C498" s="134"/>
      <c r="L498" s="125"/>
    </row>
    <row r="499" spans="3:12" ht="24" customHeight="1" x14ac:dyDescent="0.4">
      <c r="C499" s="134"/>
      <c r="L499" s="125"/>
    </row>
    <row r="500" spans="3:12" ht="24" customHeight="1" x14ac:dyDescent="0.4">
      <c r="C500" s="134"/>
      <c r="L500" s="125"/>
    </row>
    <row r="501" spans="3:12" ht="24" customHeight="1" x14ac:dyDescent="0.4">
      <c r="C501" s="134"/>
      <c r="L501" s="125"/>
    </row>
    <row r="502" spans="3:12" ht="24" customHeight="1" x14ac:dyDescent="0.4">
      <c r="C502" s="134"/>
      <c r="L502" s="125"/>
    </row>
    <row r="503" spans="3:12" ht="24" customHeight="1" x14ac:dyDescent="0.4">
      <c r="C503" s="134"/>
      <c r="L503" s="125"/>
    </row>
    <row r="504" spans="3:12" ht="24" customHeight="1" x14ac:dyDescent="0.4">
      <c r="C504" s="134"/>
      <c r="L504" s="125"/>
    </row>
    <row r="505" spans="3:12" ht="24" customHeight="1" x14ac:dyDescent="0.4">
      <c r="C505" s="134"/>
      <c r="L505" s="125"/>
    </row>
    <row r="506" spans="3:12" ht="24" customHeight="1" x14ac:dyDescent="0.4">
      <c r="C506" s="134"/>
      <c r="L506" s="125"/>
    </row>
    <row r="507" spans="3:12" ht="24" customHeight="1" x14ac:dyDescent="0.4">
      <c r="C507" s="134"/>
      <c r="L507" s="125"/>
    </row>
    <row r="508" spans="3:12" ht="24" customHeight="1" x14ac:dyDescent="0.4">
      <c r="C508" s="134"/>
      <c r="L508" s="125"/>
    </row>
    <row r="509" spans="3:12" ht="24" customHeight="1" x14ac:dyDescent="0.4">
      <c r="C509" s="134"/>
      <c r="L509" s="125"/>
    </row>
    <row r="510" spans="3:12" ht="24" customHeight="1" x14ac:dyDescent="0.4">
      <c r="C510" s="134"/>
      <c r="L510" s="125"/>
    </row>
    <row r="511" spans="3:12" ht="24" customHeight="1" x14ac:dyDescent="0.4">
      <c r="C511" s="134"/>
      <c r="L511" s="125"/>
    </row>
    <row r="512" spans="3:12" ht="24" customHeight="1" x14ac:dyDescent="0.4">
      <c r="C512" s="134"/>
      <c r="L512" s="125"/>
    </row>
    <row r="513" spans="3:12" ht="24" customHeight="1" x14ac:dyDescent="0.4">
      <c r="C513" s="134"/>
      <c r="L513" s="125"/>
    </row>
    <row r="514" spans="3:12" ht="24" customHeight="1" x14ac:dyDescent="0.4">
      <c r="C514" s="134"/>
      <c r="L514" s="125"/>
    </row>
    <row r="515" spans="3:12" ht="24" customHeight="1" x14ac:dyDescent="0.4">
      <c r="C515" s="134"/>
      <c r="L515" s="125"/>
    </row>
    <row r="516" spans="3:12" ht="24" customHeight="1" x14ac:dyDescent="0.4">
      <c r="C516" s="134"/>
      <c r="L516" s="125"/>
    </row>
    <row r="517" spans="3:12" ht="24" customHeight="1" x14ac:dyDescent="0.4">
      <c r="C517" s="134"/>
      <c r="L517" s="125"/>
    </row>
    <row r="518" spans="3:12" ht="24" customHeight="1" x14ac:dyDescent="0.4">
      <c r="C518" s="134"/>
      <c r="L518" s="125"/>
    </row>
    <row r="519" spans="3:12" ht="24" customHeight="1" x14ac:dyDescent="0.4">
      <c r="C519" s="134"/>
      <c r="L519" s="125"/>
    </row>
    <row r="520" spans="3:12" ht="24" customHeight="1" x14ac:dyDescent="0.4">
      <c r="C520" s="134"/>
      <c r="L520" s="125"/>
    </row>
    <row r="521" spans="3:12" ht="24" customHeight="1" x14ac:dyDescent="0.4">
      <c r="C521" s="134"/>
      <c r="L521" s="125"/>
    </row>
    <row r="522" spans="3:12" ht="24" customHeight="1" x14ac:dyDescent="0.4">
      <c r="C522" s="134"/>
      <c r="L522" s="125"/>
    </row>
    <row r="523" spans="3:12" ht="24" customHeight="1" x14ac:dyDescent="0.4">
      <c r="C523" s="134"/>
      <c r="L523" s="125"/>
    </row>
    <row r="524" spans="3:12" ht="24" customHeight="1" x14ac:dyDescent="0.4">
      <c r="C524" s="134"/>
      <c r="L524" s="125"/>
    </row>
    <row r="525" spans="3:12" ht="24" customHeight="1" x14ac:dyDescent="0.4">
      <c r="C525" s="134"/>
      <c r="L525" s="125"/>
    </row>
    <row r="526" spans="3:12" ht="24" customHeight="1" x14ac:dyDescent="0.4">
      <c r="C526" s="134"/>
      <c r="L526" s="125"/>
    </row>
    <row r="527" spans="3:12" ht="24" customHeight="1" x14ac:dyDescent="0.4">
      <c r="C527" s="134"/>
      <c r="L527" s="125"/>
    </row>
    <row r="528" spans="3:12" ht="24" customHeight="1" x14ac:dyDescent="0.4">
      <c r="C528" s="134"/>
      <c r="L528" s="125"/>
    </row>
    <row r="529" spans="3:12" ht="24" customHeight="1" x14ac:dyDescent="0.4">
      <c r="C529" s="134"/>
      <c r="L529" s="125"/>
    </row>
    <row r="530" spans="3:12" ht="24" customHeight="1" x14ac:dyDescent="0.4">
      <c r="C530" s="134"/>
      <c r="L530" s="125"/>
    </row>
    <row r="531" spans="3:12" ht="24" customHeight="1" x14ac:dyDescent="0.4">
      <c r="C531" s="134"/>
      <c r="L531" s="125"/>
    </row>
    <row r="532" spans="3:12" ht="24" customHeight="1" x14ac:dyDescent="0.4">
      <c r="C532" s="134"/>
      <c r="L532" s="125"/>
    </row>
    <row r="533" spans="3:12" ht="24" customHeight="1" x14ac:dyDescent="0.4">
      <c r="C533" s="134"/>
      <c r="L533" s="125"/>
    </row>
    <row r="534" spans="3:12" ht="24" customHeight="1" x14ac:dyDescent="0.4">
      <c r="C534" s="134"/>
      <c r="L534" s="125"/>
    </row>
    <row r="535" spans="3:12" ht="24" customHeight="1" x14ac:dyDescent="0.4">
      <c r="C535" s="134"/>
      <c r="L535" s="125"/>
    </row>
    <row r="536" spans="3:12" ht="24" customHeight="1" x14ac:dyDescent="0.4">
      <c r="C536" s="134"/>
      <c r="L536" s="125"/>
    </row>
    <row r="537" spans="3:12" ht="24" customHeight="1" x14ac:dyDescent="0.4">
      <c r="C537" s="134"/>
      <c r="L537" s="125"/>
    </row>
    <row r="538" spans="3:12" ht="24" customHeight="1" x14ac:dyDescent="0.4">
      <c r="C538" s="134"/>
      <c r="L538" s="125"/>
    </row>
    <row r="539" spans="3:12" ht="24" customHeight="1" x14ac:dyDescent="0.4">
      <c r="C539" s="134"/>
      <c r="L539" s="125"/>
    </row>
    <row r="540" spans="3:12" ht="24" customHeight="1" x14ac:dyDescent="0.4">
      <c r="C540" s="134"/>
      <c r="L540" s="125"/>
    </row>
    <row r="541" spans="3:12" ht="24" customHeight="1" x14ac:dyDescent="0.4">
      <c r="C541" s="134"/>
      <c r="L541" s="125"/>
    </row>
    <row r="542" spans="3:12" ht="24" customHeight="1" x14ac:dyDescent="0.4">
      <c r="C542" s="134"/>
      <c r="L542" s="125"/>
    </row>
    <row r="543" spans="3:12" ht="24" customHeight="1" x14ac:dyDescent="0.4">
      <c r="C543" s="134"/>
      <c r="L543" s="125"/>
    </row>
    <row r="544" spans="3:12" ht="24" customHeight="1" x14ac:dyDescent="0.4">
      <c r="C544" s="134"/>
      <c r="L544" s="125"/>
    </row>
    <row r="545" spans="3:12" ht="24" customHeight="1" x14ac:dyDescent="0.4">
      <c r="C545" s="134"/>
      <c r="L545" s="125"/>
    </row>
    <row r="546" spans="3:12" ht="24" customHeight="1" x14ac:dyDescent="0.4">
      <c r="C546" s="134"/>
      <c r="L546" s="125"/>
    </row>
    <row r="547" spans="3:12" ht="24" customHeight="1" x14ac:dyDescent="0.4">
      <c r="C547" s="134"/>
      <c r="L547" s="125"/>
    </row>
    <row r="548" spans="3:12" ht="24" customHeight="1" x14ac:dyDescent="0.4">
      <c r="C548" s="134"/>
      <c r="L548" s="125"/>
    </row>
    <row r="549" spans="3:12" ht="24" customHeight="1" x14ac:dyDescent="0.4">
      <c r="C549" s="134"/>
      <c r="L549" s="125"/>
    </row>
    <row r="550" spans="3:12" ht="24" customHeight="1" x14ac:dyDescent="0.4">
      <c r="C550" s="134"/>
      <c r="L550" s="125"/>
    </row>
    <row r="551" spans="3:12" ht="24" customHeight="1" x14ac:dyDescent="0.4">
      <c r="C551" s="134"/>
      <c r="L551" s="125"/>
    </row>
    <row r="552" spans="3:12" ht="24" customHeight="1" x14ac:dyDescent="0.4">
      <c r="C552" s="134"/>
      <c r="L552" s="125"/>
    </row>
    <row r="553" spans="3:12" ht="24" customHeight="1" x14ac:dyDescent="0.4">
      <c r="C553" s="134"/>
      <c r="L553" s="125"/>
    </row>
    <row r="554" spans="3:12" ht="24" customHeight="1" x14ac:dyDescent="0.4">
      <c r="C554" s="134"/>
      <c r="L554" s="125"/>
    </row>
    <row r="555" spans="3:12" ht="24" customHeight="1" x14ac:dyDescent="0.4">
      <c r="C555" s="134"/>
      <c r="L555" s="125"/>
    </row>
    <row r="556" spans="3:12" ht="24" customHeight="1" x14ac:dyDescent="0.4">
      <c r="C556" s="134"/>
      <c r="L556" s="125"/>
    </row>
    <row r="557" spans="3:12" ht="24" customHeight="1" x14ac:dyDescent="0.4">
      <c r="C557" s="134"/>
      <c r="L557" s="125"/>
    </row>
    <row r="558" spans="3:12" ht="24" customHeight="1" x14ac:dyDescent="0.4">
      <c r="C558" s="134"/>
      <c r="L558" s="125"/>
    </row>
    <row r="559" spans="3:12" ht="24" customHeight="1" x14ac:dyDescent="0.4">
      <c r="C559" s="134"/>
      <c r="L559" s="125"/>
    </row>
    <row r="560" spans="3:12" ht="24" customHeight="1" x14ac:dyDescent="0.4">
      <c r="C560" s="134"/>
      <c r="L560" s="125"/>
    </row>
    <row r="561" spans="3:12" ht="24" customHeight="1" x14ac:dyDescent="0.4">
      <c r="C561" s="134"/>
      <c r="L561" s="125"/>
    </row>
    <row r="562" spans="3:12" ht="24" customHeight="1" x14ac:dyDescent="0.4">
      <c r="C562" s="134"/>
      <c r="L562" s="125"/>
    </row>
    <row r="563" spans="3:12" ht="24" customHeight="1" x14ac:dyDescent="0.4">
      <c r="C563" s="134"/>
      <c r="L563" s="125"/>
    </row>
    <row r="564" spans="3:12" ht="24" customHeight="1" x14ac:dyDescent="0.4">
      <c r="C564" s="134"/>
      <c r="L564" s="125"/>
    </row>
    <row r="565" spans="3:12" ht="24" customHeight="1" x14ac:dyDescent="0.4">
      <c r="C565" s="134"/>
      <c r="L565" s="125"/>
    </row>
    <row r="566" spans="3:12" ht="24" customHeight="1" x14ac:dyDescent="0.4">
      <c r="C566" s="134"/>
      <c r="L566" s="125"/>
    </row>
    <row r="567" spans="3:12" ht="24" customHeight="1" x14ac:dyDescent="0.4">
      <c r="C567" s="134"/>
      <c r="L567" s="125"/>
    </row>
    <row r="568" spans="3:12" ht="24" customHeight="1" x14ac:dyDescent="0.4">
      <c r="C568" s="134"/>
      <c r="L568" s="125"/>
    </row>
    <row r="569" spans="3:12" ht="24" customHeight="1" x14ac:dyDescent="0.4">
      <c r="C569" s="134"/>
      <c r="L569" s="125"/>
    </row>
    <row r="570" spans="3:12" ht="24" customHeight="1" x14ac:dyDescent="0.4">
      <c r="C570" s="134"/>
      <c r="L570" s="125"/>
    </row>
    <row r="571" spans="3:12" ht="24" customHeight="1" x14ac:dyDescent="0.4">
      <c r="C571" s="134"/>
      <c r="L571" s="125"/>
    </row>
    <row r="572" spans="3:12" ht="24" customHeight="1" x14ac:dyDescent="0.4">
      <c r="C572" s="134"/>
      <c r="L572" s="125"/>
    </row>
    <row r="573" spans="3:12" ht="24" customHeight="1" x14ac:dyDescent="0.4">
      <c r="C573" s="134"/>
      <c r="L573" s="125"/>
    </row>
    <row r="574" spans="3:12" ht="24" customHeight="1" x14ac:dyDescent="0.4">
      <c r="C574" s="134"/>
      <c r="L574" s="125"/>
    </row>
    <row r="575" spans="3:12" ht="24" customHeight="1" x14ac:dyDescent="0.4">
      <c r="C575" s="134"/>
      <c r="L575" s="125"/>
    </row>
    <row r="576" spans="3:12" ht="24" customHeight="1" x14ac:dyDescent="0.4">
      <c r="C576" s="134"/>
      <c r="L576" s="125"/>
    </row>
    <row r="577" spans="3:12" ht="24" customHeight="1" x14ac:dyDescent="0.4">
      <c r="C577" s="134"/>
      <c r="L577" s="125"/>
    </row>
    <row r="578" spans="3:12" ht="24" customHeight="1" x14ac:dyDescent="0.4">
      <c r="C578" s="134"/>
      <c r="L578" s="125"/>
    </row>
    <row r="579" spans="3:12" ht="24" customHeight="1" x14ac:dyDescent="0.4">
      <c r="C579" s="134"/>
      <c r="L579" s="125"/>
    </row>
    <row r="580" spans="3:12" ht="24" customHeight="1" x14ac:dyDescent="0.4">
      <c r="C580" s="134"/>
      <c r="L580" s="125"/>
    </row>
    <row r="581" spans="3:12" ht="24" customHeight="1" x14ac:dyDescent="0.4">
      <c r="C581" s="134"/>
      <c r="L581" s="125"/>
    </row>
    <row r="582" spans="3:12" ht="24" customHeight="1" x14ac:dyDescent="0.4">
      <c r="C582" s="134"/>
      <c r="L582" s="125"/>
    </row>
    <row r="583" spans="3:12" ht="24" customHeight="1" x14ac:dyDescent="0.4">
      <c r="C583" s="134"/>
      <c r="L583" s="125"/>
    </row>
    <row r="584" spans="3:12" ht="24" customHeight="1" x14ac:dyDescent="0.4">
      <c r="C584" s="134"/>
      <c r="L584" s="125"/>
    </row>
    <row r="585" spans="3:12" ht="24" customHeight="1" x14ac:dyDescent="0.4">
      <c r="C585" s="134"/>
      <c r="L585" s="125"/>
    </row>
    <row r="586" spans="3:12" ht="24" customHeight="1" x14ac:dyDescent="0.4">
      <c r="C586" s="134"/>
      <c r="L586" s="125"/>
    </row>
    <row r="587" spans="3:12" ht="24" customHeight="1" x14ac:dyDescent="0.4">
      <c r="C587" s="134"/>
      <c r="L587" s="125"/>
    </row>
    <row r="588" spans="3:12" ht="24" customHeight="1" x14ac:dyDescent="0.4">
      <c r="C588" s="134"/>
      <c r="L588" s="125"/>
    </row>
    <row r="589" spans="3:12" ht="24" customHeight="1" x14ac:dyDescent="0.4">
      <c r="C589" s="134"/>
      <c r="L589" s="125"/>
    </row>
    <row r="590" spans="3:12" ht="24" customHeight="1" x14ac:dyDescent="0.4">
      <c r="C590" s="134"/>
      <c r="L590" s="125"/>
    </row>
    <row r="591" spans="3:12" ht="24" customHeight="1" x14ac:dyDescent="0.4">
      <c r="C591" s="134"/>
      <c r="L591" s="125"/>
    </row>
    <row r="592" spans="3:12" ht="24" customHeight="1" x14ac:dyDescent="0.4">
      <c r="C592" s="134"/>
      <c r="L592" s="125"/>
    </row>
    <row r="593" spans="3:12" ht="24" customHeight="1" x14ac:dyDescent="0.4">
      <c r="C593" s="134"/>
      <c r="L593" s="125"/>
    </row>
    <row r="594" spans="3:12" ht="24" customHeight="1" x14ac:dyDescent="0.4">
      <c r="C594" s="134"/>
      <c r="L594" s="125"/>
    </row>
    <row r="595" spans="3:12" ht="24" customHeight="1" x14ac:dyDescent="0.4">
      <c r="C595" s="134"/>
      <c r="L595" s="125"/>
    </row>
    <row r="596" spans="3:12" ht="24" customHeight="1" x14ac:dyDescent="0.4">
      <c r="C596" s="134"/>
      <c r="L596" s="125"/>
    </row>
    <row r="597" spans="3:12" ht="24" customHeight="1" x14ac:dyDescent="0.4">
      <c r="C597" s="134"/>
      <c r="L597" s="125"/>
    </row>
    <row r="598" spans="3:12" ht="24" customHeight="1" x14ac:dyDescent="0.4">
      <c r="C598" s="134"/>
      <c r="L598" s="125"/>
    </row>
    <row r="599" spans="3:12" ht="24" customHeight="1" x14ac:dyDescent="0.4">
      <c r="C599" s="134"/>
      <c r="L599" s="125"/>
    </row>
    <row r="600" spans="3:12" ht="24" customHeight="1" x14ac:dyDescent="0.4">
      <c r="C600" s="134"/>
      <c r="L600" s="125"/>
    </row>
    <row r="601" spans="3:12" ht="24" customHeight="1" x14ac:dyDescent="0.4">
      <c r="C601" s="134"/>
      <c r="L601" s="125"/>
    </row>
    <row r="602" spans="3:12" ht="24" customHeight="1" x14ac:dyDescent="0.4">
      <c r="C602" s="134"/>
      <c r="L602" s="125"/>
    </row>
    <row r="603" spans="3:12" ht="24" customHeight="1" x14ac:dyDescent="0.4">
      <c r="C603" s="134"/>
      <c r="L603" s="125"/>
    </row>
    <row r="604" spans="3:12" ht="24" customHeight="1" x14ac:dyDescent="0.4">
      <c r="C604" s="134"/>
      <c r="L604" s="125"/>
    </row>
    <row r="605" spans="3:12" ht="24" customHeight="1" x14ac:dyDescent="0.4">
      <c r="C605" s="134"/>
      <c r="L605" s="125"/>
    </row>
    <row r="606" spans="3:12" ht="24" customHeight="1" x14ac:dyDescent="0.4">
      <c r="C606" s="134"/>
      <c r="L606" s="125"/>
    </row>
    <row r="607" spans="3:12" ht="24" customHeight="1" x14ac:dyDescent="0.4">
      <c r="C607" s="134"/>
      <c r="L607" s="125"/>
    </row>
    <row r="608" spans="3:12" ht="24" customHeight="1" x14ac:dyDescent="0.4">
      <c r="C608" s="134"/>
      <c r="L608" s="125"/>
    </row>
    <row r="609" spans="3:12" ht="24" customHeight="1" x14ac:dyDescent="0.4">
      <c r="C609" s="134"/>
      <c r="L609" s="125"/>
    </row>
    <row r="610" spans="3:12" ht="24" customHeight="1" x14ac:dyDescent="0.4">
      <c r="C610" s="134"/>
      <c r="L610" s="125"/>
    </row>
    <row r="611" spans="3:12" ht="24" customHeight="1" x14ac:dyDescent="0.4">
      <c r="C611" s="134"/>
      <c r="L611" s="125"/>
    </row>
    <row r="612" spans="3:12" ht="24" customHeight="1" x14ac:dyDescent="0.4">
      <c r="C612" s="134"/>
      <c r="L612" s="125"/>
    </row>
    <row r="613" spans="3:12" ht="24" customHeight="1" x14ac:dyDescent="0.4">
      <c r="C613" s="134"/>
      <c r="L613" s="125"/>
    </row>
    <row r="614" spans="3:12" ht="24" customHeight="1" x14ac:dyDescent="0.4">
      <c r="C614" s="134"/>
      <c r="L614" s="125"/>
    </row>
    <row r="615" spans="3:12" ht="24" customHeight="1" x14ac:dyDescent="0.4">
      <c r="C615" s="134"/>
      <c r="L615" s="125"/>
    </row>
    <row r="616" spans="3:12" ht="24" customHeight="1" x14ac:dyDescent="0.4">
      <c r="C616" s="134"/>
      <c r="L616" s="125"/>
    </row>
    <row r="617" spans="3:12" ht="24" customHeight="1" x14ac:dyDescent="0.4">
      <c r="C617" s="134"/>
      <c r="L617" s="125"/>
    </row>
    <row r="618" spans="3:12" ht="24" customHeight="1" x14ac:dyDescent="0.4">
      <c r="C618" s="134"/>
      <c r="L618" s="125"/>
    </row>
    <row r="619" spans="3:12" ht="24" customHeight="1" x14ac:dyDescent="0.4">
      <c r="C619" s="134"/>
      <c r="L619" s="125"/>
    </row>
    <row r="620" spans="3:12" ht="24" customHeight="1" x14ac:dyDescent="0.4">
      <c r="C620" s="134"/>
      <c r="L620" s="125"/>
    </row>
    <row r="621" spans="3:12" ht="24" customHeight="1" x14ac:dyDescent="0.4">
      <c r="C621" s="134"/>
      <c r="L621" s="125"/>
    </row>
    <row r="622" spans="3:12" ht="24" customHeight="1" x14ac:dyDescent="0.4">
      <c r="C622" s="134"/>
      <c r="L622" s="125"/>
    </row>
    <row r="623" spans="3:12" ht="24" customHeight="1" x14ac:dyDescent="0.4">
      <c r="C623" s="134"/>
      <c r="L623" s="125"/>
    </row>
    <row r="624" spans="3:12" ht="24" customHeight="1" x14ac:dyDescent="0.4">
      <c r="C624" s="134"/>
      <c r="L624" s="125"/>
    </row>
    <row r="625" spans="3:12" ht="24" customHeight="1" x14ac:dyDescent="0.4">
      <c r="C625" s="134"/>
      <c r="L625" s="125"/>
    </row>
    <row r="626" spans="3:12" ht="24" customHeight="1" x14ac:dyDescent="0.4">
      <c r="C626" s="134"/>
      <c r="L626" s="125"/>
    </row>
    <row r="627" spans="3:12" ht="24" customHeight="1" x14ac:dyDescent="0.4">
      <c r="C627" s="134"/>
      <c r="L627" s="125"/>
    </row>
    <row r="628" spans="3:12" ht="24" customHeight="1" x14ac:dyDescent="0.4">
      <c r="C628" s="134"/>
      <c r="L628" s="125"/>
    </row>
    <row r="629" spans="3:12" ht="24" customHeight="1" x14ac:dyDescent="0.4">
      <c r="C629" s="134"/>
      <c r="L629" s="125"/>
    </row>
    <row r="630" spans="3:12" ht="24" customHeight="1" x14ac:dyDescent="0.4">
      <c r="C630" s="134"/>
      <c r="L630" s="125"/>
    </row>
    <row r="631" spans="3:12" ht="24" customHeight="1" x14ac:dyDescent="0.4">
      <c r="C631" s="134"/>
      <c r="L631" s="125"/>
    </row>
    <row r="632" spans="3:12" ht="24" customHeight="1" x14ac:dyDescent="0.4">
      <c r="C632" s="134"/>
      <c r="L632" s="125"/>
    </row>
    <row r="633" spans="3:12" ht="24" customHeight="1" x14ac:dyDescent="0.4">
      <c r="C633" s="134"/>
      <c r="L633" s="125"/>
    </row>
    <row r="634" spans="3:12" ht="24" customHeight="1" x14ac:dyDescent="0.4">
      <c r="C634" s="134"/>
      <c r="L634" s="125"/>
    </row>
    <row r="635" spans="3:12" ht="24" customHeight="1" x14ac:dyDescent="0.4">
      <c r="C635" s="134"/>
      <c r="L635" s="125"/>
    </row>
    <row r="636" spans="3:12" ht="24" customHeight="1" x14ac:dyDescent="0.4">
      <c r="C636" s="134"/>
      <c r="L636" s="125"/>
    </row>
    <row r="637" spans="3:12" ht="24" customHeight="1" x14ac:dyDescent="0.4">
      <c r="C637" s="134"/>
      <c r="L637" s="125"/>
    </row>
    <row r="638" spans="3:12" ht="24" customHeight="1" x14ac:dyDescent="0.4">
      <c r="C638" s="134"/>
      <c r="L638" s="125"/>
    </row>
    <row r="639" spans="3:12" ht="24" customHeight="1" x14ac:dyDescent="0.4">
      <c r="C639" s="134"/>
      <c r="L639" s="125"/>
    </row>
    <row r="640" spans="3:12" ht="24" customHeight="1" x14ac:dyDescent="0.4">
      <c r="C640" s="134"/>
      <c r="L640" s="125"/>
    </row>
    <row r="641" spans="3:12" ht="24" customHeight="1" x14ac:dyDescent="0.4">
      <c r="C641" s="134"/>
      <c r="L641" s="125"/>
    </row>
    <row r="642" spans="3:12" ht="24" customHeight="1" x14ac:dyDescent="0.4">
      <c r="C642" s="134"/>
      <c r="L642" s="125"/>
    </row>
    <row r="643" spans="3:12" ht="24" customHeight="1" x14ac:dyDescent="0.4">
      <c r="C643" s="134"/>
      <c r="L643" s="125"/>
    </row>
    <row r="644" spans="3:12" ht="24" customHeight="1" x14ac:dyDescent="0.4">
      <c r="C644" s="134"/>
      <c r="L644" s="125"/>
    </row>
    <row r="645" spans="3:12" ht="24" customHeight="1" x14ac:dyDescent="0.4">
      <c r="C645" s="134"/>
      <c r="L645" s="125"/>
    </row>
    <row r="646" spans="3:12" ht="24" customHeight="1" x14ac:dyDescent="0.4">
      <c r="C646" s="134"/>
      <c r="L646" s="125"/>
    </row>
    <row r="647" spans="3:12" ht="24" customHeight="1" x14ac:dyDescent="0.4">
      <c r="C647" s="134"/>
      <c r="L647" s="125"/>
    </row>
    <row r="648" spans="3:12" ht="24" customHeight="1" x14ac:dyDescent="0.4">
      <c r="C648" s="134"/>
      <c r="L648" s="125"/>
    </row>
    <row r="649" spans="3:12" ht="24" customHeight="1" x14ac:dyDescent="0.4">
      <c r="C649" s="134"/>
      <c r="L649" s="125"/>
    </row>
    <row r="650" spans="3:12" ht="24" customHeight="1" x14ac:dyDescent="0.4">
      <c r="C650" s="134"/>
      <c r="L650" s="125"/>
    </row>
    <row r="651" spans="3:12" ht="24" customHeight="1" x14ac:dyDescent="0.4">
      <c r="C651" s="134"/>
      <c r="L651" s="125"/>
    </row>
    <row r="652" spans="3:12" ht="24" customHeight="1" x14ac:dyDescent="0.4">
      <c r="C652" s="134"/>
      <c r="L652" s="125"/>
    </row>
    <row r="653" spans="3:12" ht="24" customHeight="1" x14ac:dyDescent="0.4">
      <c r="C653" s="134"/>
      <c r="L653" s="125"/>
    </row>
    <row r="654" spans="3:12" ht="24" customHeight="1" x14ac:dyDescent="0.4">
      <c r="C654" s="134"/>
      <c r="L654" s="125"/>
    </row>
    <row r="655" spans="3:12" ht="24" customHeight="1" x14ac:dyDescent="0.4">
      <c r="C655" s="134"/>
      <c r="L655" s="125"/>
    </row>
    <row r="656" spans="3:12" ht="24" customHeight="1" x14ac:dyDescent="0.4">
      <c r="C656" s="134"/>
      <c r="L656" s="125"/>
    </row>
    <row r="657" spans="3:12" ht="24" customHeight="1" x14ac:dyDescent="0.4">
      <c r="C657" s="134"/>
      <c r="L657" s="125"/>
    </row>
    <row r="658" spans="3:12" ht="24" customHeight="1" x14ac:dyDescent="0.4">
      <c r="C658" s="134"/>
      <c r="L658" s="125"/>
    </row>
    <row r="659" spans="3:12" ht="24" customHeight="1" x14ac:dyDescent="0.4">
      <c r="C659" s="134"/>
      <c r="L659" s="125"/>
    </row>
    <row r="660" spans="3:12" ht="24" customHeight="1" x14ac:dyDescent="0.4">
      <c r="C660" s="134"/>
      <c r="L660" s="125"/>
    </row>
    <row r="661" spans="3:12" ht="24" customHeight="1" x14ac:dyDescent="0.4">
      <c r="C661" s="134"/>
      <c r="L661" s="125"/>
    </row>
    <row r="662" spans="3:12" ht="24" customHeight="1" x14ac:dyDescent="0.4">
      <c r="C662" s="134"/>
      <c r="L662" s="125"/>
    </row>
    <row r="663" spans="3:12" ht="24" customHeight="1" x14ac:dyDescent="0.4">
      <c r="C663" s="134"/>
      <c r="L663" s="125"/>
    </row>
    <row r="664" spans="3:12" ht="24" customHeight="1" x14ac:dyDescent="0.4">
      <c r="C664" s="134"/>
      <c r="L664" s="125"/>
    </row>
    <row r="665" spans="3:12" ht="24" customHeight="1" x14ac:dyDescent="0.4">
      <c r="C665" s="134"/>
      <c r="L665" s="125"/>
    </row>
    <row r="666" spans="3:12" ht="24" customHeight="1" x14ac:dyDescent="0.4">
      <c r="C666" s="134"/>
      <c r="L666" s="125"/>
    </row>
    <row r="667" spans="3:12" ht="24" customHeight="1" x14ac:dyDescent="0.4">
      <c r="C667" s="134"/>
      <c r="L667" s="125"/>
    </row>
    <row r="668" spans="3:12" ht="24" customHeight="1" x14ac:dyDescent="0.4">
      <c r="C668" s="134"/>
      <c r="L668" s="125"/>
    </row>
    <row r="669" spans="3:12" ht="24" customHeight="1" x14ac:dyDescent="0.4">
      <c r="C669" s="134"/>
      <c r="L669" s="125"/>
    </row>
    <row r="670" spans="3:12" ht="24" customHeight="1" x14ac:dyDescent="0.4">
      <c r="C670" s="134"/>
      <c r="L670" s="125"/>
    </row>
    <row r="671" spans="3:12" ht="24" customHeight="1" x14ac:dyDescent="0.4">
      <c r="C671" s="134"/>
      <c r="L671" s="125"/>
    </row>
    <row r="672" spans="3:12" ht="24" customHeight="1" x14ac:dyDescent="0.4">
      <c r="C672" s="134"/>
      <c r="L672" s="125"/>
    </row>
    <row r="673" spans="3:12" ht="24" customHeight="1" x14ac:dyDescent="0.4">
      <c r="C673" s="134"/>
      <c r="L673" s="125"/>
    </row>
    <row r="674" spans="3:12" ht="24" customHeight="1" x14ac:dyDescent="0.4">
      <c r="C674" s="134"/>
      <c r="L674" s="125"/>
    </row>
    <row r="675" spans="3:12" ht="24" customHeight="1" x14ac:dyDescent="0.4">
      <c r="C675" s="134"/>
      <c r="L675" s="125"/>
    </row>
    <row r="676" spans="3:12" ht="24" customHeight="1" x14ac:dyDescent="0.4">
      <c r="C676" s="134"/>
      <c r="L676" s="125"/>
    </row>
    <row r="677" spans="3:12" ht="24" customHeight="1" x14ac:dyDescent="0.4">
      <c r="C677" s="134"/>
      <c r="L677" s="125"/>
    </row>
    <row r="678" spans="3:12" ht="24" customHeight="1" x14ac:dyDescent="0.4">
      <c r="C678" s="134"/>
      <c r="L678" s="125"/>
    </row>
    <row r="679" spans="3:12" ht="24" customHeight="1" x14ac:dyDescent="0.4">
      <c r="C679" s="134"/>
      <c r="L679" s="125"/>
    </row>
    <row r="680" spans="3:12" ht="24" customHeight="1" x14ac:dyDescent="0.4">
      <c r="C680" s="134"/>
      <c r="L680" s="125"/>
    </row>
    <row r="681" spans="3:12" ht="24" customHeight="1" x14ac:dyDescent="0.4">
      <c r="C681" s="134"/>
      <c r="L681" s="125"/>
    </row>
    <row r="682" spans="3:12" ht="24" customHeight="1" x14ac:dyDescent="0.4">
      <c r="C682" s="134"/>
      <c r="L682" s="125"/>
    </row>
    <row r="683" spans="3:12" ht="24" customHeight="1" x14ac:dyDescent="0.4">
      <c r="C683" s="134"/>
      <c r="L683" s="125"/>
    </row>
    <row r="684" spans="3:12" ht="24" customHeight="1" x14ac:dyDescent="0.4">
      <c r="C684" s="134"/>
      <c r="L684" s="125"/>
    </row>
    <row r="685" spans="3:12" ht="24" customHeight="1" x14ac:dyDescent="0.4">
      <c r="C685" s="134"/>
      <c r="L685" s="125"/>
    </row>
    <row r="686" spans="3:12" ht="24" customHeight="1" x14ac:dyDescent="0.4">
      <c r="C686" s="134"/>
      <c r="L686" s="125"/>
    </row>
    <row r="687" spans="3:12" ht="24" customHeight="1" x14ac:dyDescent="0.4">
      <c r="C687" s="134"/>
      <c r="L687" s="125"/>
    </row>
    <row r="688" spans="3:12" ht="24" customHeight="1" x14ac:dyDescent="0.4">
      <c r="C688" s="134"/>
      <c r="L688" s="125"/>
    </row>
    <row r="689" spans="3:12" ht="24" customHeight="1" x14ac:dyDescent="0.4">
      <c r="C689" s="134"/>
      <c r="L689" s="125"/>
    </row>
    <row r="690" spans="3:12" ht="24" customHeight="1" x14ac:dyDescent="0.4">
      <c r="C690" s="134"/>
      <c r="L690" s="125"/>
    </row>
    <row r="691" spans="3:12" ht="24" customHeight="1" x14ac:dyDescent="0.4">
      <c r="C691" s="134"/>
      <c r="L691" s="125"/>
    </row>
    <row r="692" spans="3:12" ht="24" customHeight="1" x14ac:dyDescent="0.4">
      <c r="C692" s="134"/>
      <c r="L692" s="125"/>
    </row>
    <row r="693" spans="3:12" ht="24" customHeight="1" x14ac:dyDescent="0.4">
      <c r="C693" s="134"/>
      <c r="L693" s="125"/>
    </row>
    <row r="694" spans="3:12" ht="24" customHeight="1" x14ac:dyDescent="0.4">
      <c r="C694" s="134"/>
      <c r="L694" s="125"/>
    </row>
    <row r="695" spans="3:12" ht="24" customHeight="1" x14ac:dyDescent="0.4">
      <c r="C695" s="134"/>
      <c r="L695" s="125"/>
    </row>
    <row r="696" spans="3:12" ht="24" customHeight="1" x14ac:dyDescent="0.4">
      <c r="C696" s="134"/>
      <c r="L696" s="125"/>
    </row>
    <row r="697" spans="3:12" ht="24" customHeight="1" x14ac:dyDescent="0.4">
      <c r="C697" s="134"/>
      <c r="L697" s="125"/>
    </row>
    <row r="698" spans="3:12" ht="24" customHeight="1" x14ac:dyDescent="0.4">
      <c r="C698" s="134"/>
      <c r="L698" s="125"/>
    </row>
    <row r="699" spans="3:12" ht="24" customHeight="1" x14ac:dyDescent="0.4">
      <c r="C699" s="134"/>
      <c r="L699" s="125"/>
    </row>
    <row r="700" spans="3:12" ht="24" customHeight="1" x14ac:dyDescent="0.4">
      <c r="C700" s="134"/>
      <c r="L700" s="125"/>
    </row>
    <row r="701" spans="3:12" ht="24" customHeight="1" x14ac:dyDescent="0.4">
      <c r="C701" s="134"/>
      <c r="L701" s="125"/>
    </row>
    <row r="702" spans="3:12" ht="24" customHeight="1" x14ac:dyDescent="0.4">
      <c r="C702" s="134"/>
      <c r="L702" s="125"/>
    </row>
    <row r="703" spans="3:12" ht="24" customHeight="1" x14ac:dyDescent="0.4">
      <c r="C703" s="134"/>
      <c r="L703" s="125"/>
    </row>
    <row r="704" spans="3:12" ht="24" customHeight="1" x14ac:dyDescent="0.4">
      <c r="C704" s="134"/>
      <c r="L704" s="125"/>
    </row>
    <row r="705" spans="3:12" ht="24" customHeight="1" x14ac:dyDescent="0.4">
      <c r="C705" s="134"/>
      <c r="L705" s="125"/>
    </row>
    <row r="706" spans="3:12" ht="24" customHeight="1" x14ac:dyDescent="0.4">
      <c r="C706" s="134"/>
      <c r="L706" s="125"/>
    </row>
    <row r="707" spans="3:12" ht="24" customHeight="1" x14ac:dyDescent="0.4">
      <c r="C707" s="134"/>
      <c r="L707" s="125"/>
    </row>
    <row r="708" spans="3:12" ht="24" customHeight="1" x14ac:dyDescent="0.4">
      <c r="C708" s="134"/>
      <c r="L708" s="125"/>
    </row>
    <row r="709" spans="3:12" ht="24" customHeight="1" x14ac:dyDescent="0.4">
      <c r="C709" s="134"/>
      <c r="L709" s="125"/>
    </row>
    <row r="710" spans="3:12" ht="24" customHeight="1" x14ac:dyDescent="0.4">
      <c r="C710" s="134"/>
      <c r="L710" s="125"/>
    </row>
    <row r="711" spans="3:12" ht="24" customHeight="1" x14ac:dyDescent="0.4">
      <c r="C711" s="134"/>
      <c r="L711" s="125"/>
    </row>
    <row r="712" spans="3:12" ht="24" customHeight="1" x14ac:dyDescent="0.4">
      <c r="C712" s="134"/>
      <c r="L712" s="125"/>
    </row>
    <row r="713" spans="3:12" ht="24" customHeight="1" x14ac:dyDescent="0.4">
      <c r="C713" s="134"/>
      <c r="L713" s="125"/>
    </row>
    <row r="714" spans="3:12" ht="24" customHeight="1" x14ac:dyDescent="0.4">
      <c r="C714" s="134"/>
      <c r="L714" s="125"/>
    </row>
    <row r="715" spans="3:12" ht="24" customHeight="1" x14ac:dyDescent="0.4">
      <c r="C715" s="134"/>
      <c r="L715" s="125"/>
    </row>
    <row r="716" spans="3:12" ht="24" customHeight="1" x14ac:dyDescent="0.4">
      <c r="C716" s="134"/>
      <c r="L716" s="125"/>
    </row>
    <row r="717" spans="3:12" ht="24" customHeight="1" x14ac:dyDescent="0.4">
      <c r="C717" s="134"/>
      <c r="L717" s="125"/>
    </row>
    <row r="718" spans="3:12" ht="24" customHeight="1" x14ac:dyDescent="0.4">
      <c r="C718" s="134"/>
      <c r="L718" s="125"/>
    </row>
    <row r="719" spans="3:12" ht="24" customHeight="1" x14ac:dyDescent="0.4">
      <c r="C719" s="134"/>
      <c r="L719" s="125"/>
    </row>
    <row r="720" spans="3:12" ht="24" customHeight="1" x14ac:dyDescent="0.4">
      <c r="C720" s="134"/>
      <c r="L720" s="125"/>
    </row>
    <row r="721" spans="3:12" ht="24" customHeight="1" x14ac:dyDescent="0.4">
      <c r="C721" s="134"/>
      <c r="L721" s="125"/>
    </row>
    <row r="722" spans="3:12" ht="24" customHeight="1" x14ac:dyDescent="0.4">
      <c r="C722" s="134"/>
      <c r="L722" s="125"/>
    </row>
    <row r="723" spans="3:12" ht="24" customHeight="1" x14ac:dyDescent="0.4">
      <c r="C723" s="134"/>
      <c r="L723" s="125"/>
    </row>
    <row r="724" spans="3:12" ht="24" customHeight="1" x14ac:dyDescent="0.4">
      <c r="C724" s="134"/>
      <c r="L724" s="125"/>
    </row>
    <row r="725" spans="3:12" ht="24" customHeight="1" x14ac:dyDescent="0.4">
      <c r="C725" s="134"/>
      <c r="L725" s="125"/>
    </row>
    <row r="726" spans="3:12" ht="24" customHeight="1" x14ac:dyDescent="0.4">
      <c r="C726" s="134"/>
      <c r="L726" s="125"/>
    </row>
    <row r="727" spans="3:12" ht="24" customHeight="1" x14ac:dyDescent="0.4">
      <c r="C727" s="134"/>
      <c r="L727" s="125"/>
    </row>
    <row r="728" spans="3:12" ht="24" customHeight="1" x14ac:dyDescent="0.4">
      <c r="C728" s="134"/>
      <c r="L728" s="125"/>
    </row>
    <row r="729" spans="3:12" ht="24" customHeight="1" x14ac:dyDescent="0.4">
      <c r="C729" s="134"/>
      <c r="L729" s="125"/>
    </row>
    <row r="730" spans="3:12" ht="24" customHeight="1" x14ac:dyDescent="0.4">
      <c r="C730" s="134"/>
      <c r="L730" s="125"/>
    </row>
    <row r="731" spans="3:12" ht="24" customHeight="1" x14ac:dyDescent="0.4">
      <c r="C731" s="134"/>
      <c r="L731" s="125"/>
    </row>
    <row r="732" spans="3:12" ht="24" customHeight="1" x14ac:dyDescent="0.4">
      <c r="C732" s="134"/>
      <c r="L732" s="125"/>
    </row>
    <row r="733" spans="3:12" ht="24" customHeight="1" x14ac:dyDescent="0.4">
      <c r="C733" s="134"/>
      <c r="L733" s="125"/>
    </row>
    <row r="734" spans="3:12" ht="24" customHeight="1" x14ac:dyDescent="0.4">
      <c r="C734" s="134"/>
      <c r="L734" s="125"/>
    </row>
    <row r="735" spans="3:12" ht="24" customHeight="1" x14ac:dyDescent="0.4">
      <c r="C735" s="134"/>
      <c r="L735" s="125"/>
    </row>
    <row r="736" spans="3:12" ht="24" customHeight="1" x14ac:dyDescent="0.4">
      <c r="C736" s="134"/>
      <c r="L736" s="125"/>
    </row>
    <row r="737" spans="3:12" ht="24" customHeight="1" x14ac:dyDescent="0.4">
      <c r="C737" s="134"/>
      <c r="L737" s="125"/>
    </row>
    <row r="738" spans="3:12" ht="24" customHeight="1" x14ac:dyDescent="0.4">
      <c r="C738" s="134"/>
      <c r="L738" s="125"/>
    </row>
    <row r="739" spans="3:12" ht="24" customHeight="1" x14ac:dyDescent="0.4">
      <c r="C739" s="134"/>
      <c r="L739" s="125"/>
    </row>
    <row r="740" spans="3:12" ht="24" customHeight="1" x14ac:dyDescent="0.4">
      <c r="C740" s="134"/>
      <c r="L740" s="125"/>
    </row>
    <row r="741" spans="3:12" ht="24" customHeight="1" x14ac:dyDescent="0.4">
      <c r="C741" s="134"/>
      <c r="L741" s="125"/>
    </row>
    <row r="742" spans="3:12" ht="24" customHeight="1" x14ac:dyDescent="0.4">
      <c r="C742" s="134"/>
      <c r="L742" s="125"/>
    </row>
    <row r="743" spans="3:12" ht="24" customHeight="1" x14ac:dyDescent="0.4">
      <c r="C743" s="134"/>
      <c r="L743" s="125"/>
    </row>
    <row r="744" spans="3:12" ht="24" customHeight="1" x14ac:dyDescent="0.4">
      <c r="C744" s="134"/>
      <c r="L744" s="125"/>
    </row>
    <row r="745" spans="3:12" ht="24" customHeight="1" x14ac:dyDescent="0.4">
      <c r="C745" s="134"/>
      <c r="L745" s="125"/>
    </row>
    <row r="746" spans="3:12" ht="24" customHeight="1" x14ac:dyDescent="0.4">
      <c r="C746" s="134"/>
      <c r="L746" s="125"/>
    </row>
    <row r="747" spans="3:12" ht="24" customHeight="1" x14ac:dyDescent="0.4">
      <c r="C747" s="134"/>
      <c r="L747" s="125"/>
    </row>
    <row r="748" spans="3:12" ht="24" customHeight="1" x14ac:dyDescent="0.4">
      <c r="C748" s="134"/>
      <c r="L748" s="125"/>
    </row>
    <row r="749" spans="3:12" ht="24" customHeight="1" x14ac:dyDescent="0.4">
      <c r="C749" s="134"/>
      <c r="L749" s="125"/>
    </row>
    <row r="750" spans="3:12" ht="24" customHeight="1" x14ac:dyDescent="0.4">
      <c r="C750" s="134"/>
      <c r="L750" s="125"/>
    </row>
    <row r="751" spans="3:12" ht="24" customHeight="1" x14ac:dyDescent="0.4">
      <c r="C751" s="134"/>
      <c r="L751" s="125"/>
    </row>
    <row r="752" spans="3:12" ht="24" customHeight="1" x14ac:dyDescent="0.4">
      <c r="C752" s="134"/>
      <c r="L752" s="125"/>
    </row>
    <row r="753" spans="3:12" ht="24" customHeight="1" x14ac:dyDescent="0.4">
      <c r="C753" s="134"/>
      <c r="L753" s="125"/>
    </row>
    <row r="754" spans="3:12" ht="24" customHeight="1" x14ac:dyDescent="0.4">
      <c r="C754" s="134"/>
      <c r="L754" s="125"/>
    </row>
    <row r="755" spans="3:12" ht="24" customHeight="1" x14ac:dyDescent="0.4">
      <c r="C755" s="134"/>
      <c r="L755" s="125"/>
    </row>
    <row r="756" spans="3:12" ht="24" customHeight="1" x14ac:dyDescent="0.4">
      <c r="C756" s="134"/>
      <c r="L756" s="125"/>
    </row>
    <row r="757" spans="3:12" ht="24" customHeight="1" x14ac:dyDescent="0.4">
      <c r="C757" s="134"/>
      <c r="L757" s="125"/>
    </row>
    <row r="758" spans="3:12" ht="24" customHeight="1" x14ac:dyDescent="0.4">
      <c r="C758" s="134"/>
      <c r="L758" s="125"/>
    </row>
    <row r="759" spans="3:12" ht="24" customHeight="1" x14ac:dyDescent="0.4">
      <c r="C759" s="134"/>
      <c r="L759" s="125"/>
    </row>
    <row r="760" spans="3:12" ht="24" customHeight="1" x14ac:dyDescent="0.4">
      <c r="C760" s="134"/>
      <c r="L760" s="125"/>
    </row>
    <row r="761" spans="3:12" ht="24" customHeight="1" x14ac:dyDescent="0.4">
      <c r="C761" s="134"/>
      <c r="L761" s="125"/>
    </row>
    <row r="762" spans="3:12" ht="24" customHeight="1" x14ac:dyDescent="0.4">
      <c r="C762" s="134"/>
      <c r="L762" s="125"/>
    </row>
    <row r="763" spans="3:12" ht="24" customHeight="1" x14ac:dyDescent="0.4">
      <c r="C763" s="134"/>
      <c r="L763" s="125"/>
    </row>
    <row r="764" spans="3:12" ht="24" customHeight="1" x14ac:dyDescent="0.4">
      <c r="C764" s="134"/>
      <c r="L764" s="125"/>
    </row>
    <row r="765" spans="3:12" ht="24" customHeight="1" x14ac:dyDescent="0.4">
      <c r="C765" s="134"/>
      <c r="L765" s="125"/>
    </row>
    <row r="766" spans="3:12" ht="24" customHeight="1" x14ac:dyDescent="0.4">
      <c r="C766" s="134"/>
      <c r="L766" s="125"/>
    </row>
    <row r="767" spans="3:12" ht="24" customHeight="1" x14ac:dyDescent="0.4">
      <c r="C767" s="134"/>
      <c r="L767" s="125"/>
    </row>
    <row r="768" spans="3:12" ht="24" customHeight="1" x14ac:dyDescent="0.4">
      <c r="C768" s="134"/>
      <c r="L768" s="125"/>
    </row>
    <row r="769" spans="3:12" ht="24" customHeight="1" x14ac:dyDescent="0.4">
      <c r="C769" s="134"/>
      <c r="L769" s="125"/>
    </row>
    <row r="770" spans="3:12" ht="24" customHeight="1" x14ac:dyDescent="0.4">
      <c r="C770" s="134"/>
      <c r="L770" s="125"/>
    </row>
    <row r="771" spans="3:12" ht="24" customHeight="1" x14ac:dyDescent="0.4">
      <c r="C771" s="134"/>
      <c r="L771" s="125"/>
    </row>
    <row r="772" spans="3:12" ht="24" customHeight="1" x14ac:dyDescent="0.4">
      <c r="C772" s="134"/>
      <c r="L772" s="125"/>
    </row>
    <row r="773" spans="3:12" ht="24" customHeight="1" x14ac:dyDescent="0.4">
      <c r="C773" s="134"/>
      <c r="L773" s="125"/>
    </row>
    <row r="774" spans="3:12" ht="24" customHeight="1" x14ac:dyDescent="0.4">
      <c r="C774" s="134"/>
      <c r="L774" s="125"/>
    </row>
    <row r="775" spans="3:12" ht="24" customHeight="1" x14ac:dyDescent="0.4">
      <c r="C775" s="134"/>
      <c r="L775" s="125"/>
    </row>
    <row r="776" spans="3:12" ht="24" customHeight="1" x14ac:dyDescent="0.4">
      <c r="C776" s="134"/>
      <c r="L776" s="125"/>
    </row>
    <row r="777" spans="3:12" ht="24" customHeight="1" x14ac:dyDescent="0.4">
      <c r="C777" s="134"/>
      <c r="L777" s="125"/>
    </row>
    <row r="778" spans="3:12" ht="24" customHeight="1" x14ac:dyDescent="0.4">
      <c r="C778" s="134"/>
      <c r="L778" s="125"/>
    </row>
    <row r="779" spans="3:12" ht="24" customHeight="1" x14ac:dyDescent="0.4">
      <c r="C779" s="134"/>
      <c r="L779" s="125"/>
    </row>
    <row r="780" spans="3:12" ht="24" customHeight="1" x14ac:dyDescent="0.4">
      <c r="C780" s="134"/>
      <c r="L780" s="125"/>
    </row>
    <row r="781" spans="3:12" ht="24" customHeight="1" x14ac:dyDescent="0.4">
      <c r="C781" s="134"/>
      <c r="L781" s="125"/>
    </row>
    <row r="782" spans="3:12" ht="24" customHeight="1" x14ac:dyDescent="0.4">
      <c r="C782" s="134"/>
      <c r="L782" s="125"/>
    </row>
    <row r="783" spans="3:12" ht="24" customHeight="1" x14ac:dyDescent="0.4">
      <c r="C783" s="134"/>
      <c r="L783" s="125"/>
    </row>
    <row r="784" spans="3:12" ht="24" customHeight="1" x14ac:dyDescent="0.4">
      <c r="C784" s="134"/>
      <c r="L784" s="125"/>
    </row>
    <row r="785" spans="3:12" ht="24" customHeight="1" x14ac:dyDescent="0.4">
      <c r="C785" s="134"/>
      <c r="L785" s="125"/>
    </row>
    <row r="786" spans="3:12" ht="24" customHeight="1" x14ac:dyDescent="0.4">
      <c r="C786" s="134"/>
      <c r="L786" s="125"/>
    </row>
    <row r="787" spans="3:12" ht="24" customHeight="1" x14ac:dyDescent="0.4">
      <c r="C787" s="134"/>
      <c r="L787" s="125"/>
    </row>
    <row r="788" spans="3:12" ht="24" customHeight="1" x14ac:dyDescent="0.4">
      <c r="C788" s="134"/>
      <c r="L788" s="125"/>
    </row>
    <row r="789" spans="3:12" ht="24" customHeight="1" x14ac:dyDescent="0.4">
      <c r="C789" s="134"/>
      <c r="L789" s="125"/>
    </row>
    <row r="790" spans="3:12" ht="24" customHeight="1" x14ac:dyDescent="0.4">
      <c r="C790" s="134"/>
      <c r="L790" s="125"/>
    </row>
    <row r="791" spans="3:12" ht="24" customHeight="1" x14ac:dyDescent="0.4">
      <c r="C791" s="134"/>
      <c r="L791" s="125"/>
    </row>
    <row r="792" spans="3:12" ht="24" customHeight="1" x14ac:dyDescent="0.4">
      <c r="C792" s="134"/>
      <c r="L792" s="125"/>
    </row>
    <row r="793" spans="3:12" ht="24" customHeight="1" x14ac:dyDescent="0.4">
      <c r="C793" s="134"/>
      <c r="L793" s="125"/>
    </row>
    <row r="794" spans="3:12" ht="24" customHeight="1" x14ac:dyDescent="0.4">
      <c r="C794" s="134"/>
      <c r="L794" s="125"/>
    </row>
    <row r="795" spans="3:12" ht="24" customHeight="1" x14ac:dyDescent="0.4">
      <c r="C795" s="134"/>
      <c r="L795" s="125"/>
    </row>
    <row r="796" spans="3:12" ht="24" customHeight="1" x14ac:dyDescent="0.4">
      <c r="C796" s="134"/>
      <c r="L796" s="125"/>
    </row>
    <row r="797" spans="3:12" ht="24" customHeight="1" x14ac:dyDescent="0.4">
      <c r="C797" s="134"/>
      <c r="L797" s="125"/>
    </row>
    <row r="798" spans="3:12" ht="24" customHeight="1" x14ac:dyDescent="0.4">
      <c r="C798" s="134"/>
      <c r="L798" s="125"/>
    </row>
    <row r="799" spans="3:12" ht="24" customHeight="1" x14ac:dyDescent="0.4">
      <c r="C799" s="134"/>
      <c r="L799" s="125"/>
    </row>
    <row r="800" spans="3:12" ht="24" customHeight="1" x14ac:dyDescent="0.4">
      <c r="C800" s="134"/>
      <c r="L800" s="125"/>
    </row>
    <row r="801" spans="3:12" ht="24" customHeight="1" x14ac:dyDescent="0.4">
      <c r="C801" s="134"/>
      <c r="L801" s="125"/>
    </row>
    <row r="802" spans="3:12" ht="24" customHeight="1" x14ac:dyDescent="0.4">
      <c r="C802" s="134"/>
      <c r="L802" s="125"/>
    </row>
    <row r="803" spans="3:12" ht="24" customHeight="1" x14ac:dyDescent="0.4">
      <c r="C803" s="134"/>
      <c r="L803" s="125"/>
    </row>
    <row r="804" spans="3:12" ht="24" customHeight="1" x14ac:dyDescent="0.4">
      <c r="C804" s="134"/>
      <c r="L804" s="125"/>
    </row>
    <row r="805" spans="3:12" ht="24" customHeight="1" x14ac:dyDescent="0.4">
      <c r="C805" s="134"/>
      <c r="L805" s="125"/>
    </row>
    <row r="806" spans="3:12" ht="24" customHeight="1" x14ac:dyDescent="0.4">
      <c r="C806" s="134"/>
      <c r="L806" s="125"/>
    </row>
    <row r="807" spans="3:12" ht="24" customHeight="1" x14ac:dyDescent="0.4">
      <c r="C807" s="134"/>
      <c r="L807" s="125"/>
    </row>
    <row r="808" spans="3:12" ht="24" customHeight="1" x14ac:dyDescent="0.4">
      <c r="C808" s="134"/>
      <c r="L808" s="125"/>
    </row>
    <row r="809" spans="3:12" ht="24" customHeight="1" x14ac:dyDescent="0.4">
      <c r="C809" s="134"/>
      <c r="L809" s="125"/>
    </row>
    <row r="810" spans="3:12" ht="24" customHeight="1" x14ac:dyDescent="0.4">
      <c r="C810" s="134"/>
      <c r="L810" s="125"/>
    </row>
    <row r="811" spans="3:12" ht="24" customHeight="1" x14ac:dyDescent="0.4">
      <c r="C811" s="134"/>
      <c r="L811" s="125"/>
    </row>
    <row r="812" spans="3:12" ht="24" customHeight="1" x14ac:dyDescent="0.4">
      <c r="C812" s="134"/>
      <c r="L812" s="125"/>
    </row>
    <row r="813" spans="3:12" ht="24" customHeight="1" x14ac:dyDescent="0.4">
      <c r="C813" s="134"/>
      <c r="L813" s="125"/>
    </row>
    <row r="814" spans="3:12" ht="24" customHeight="1" x14ac:dyDescent="0.4">
      <c r="C814" s="134"/>
      <c r="L814" s="125"/>
    </row>
    <row r="815" spans="3:12" ht="24" customHeight="1" x14ac:dyDescent="0.4">
      <c r="C815" s="134"/>
      <c r="L815" s="125"/>
    </row>
    <row r="816" spans="3:12" ht="24" customHeight="1" x14ac:dyDescent="0.4">
      <c r="C816" s="134"/>
      <c r="L816" s="125"/>
    </row>
    <row r="817" spans="3:12" ht="24" customHeight="1" x14ac:dyDescent="0.4">
      <c r="C817" s="134"/>
      <c r="L817" s="125"/>
    </row>
    <row r="818" spans="3:12" ht="24" customHeight="1" x14ac:dyDescent="0.4">
      <c r="C818" s="134"/>
      <c r="L818" s="125"/>
    </row>
    <row r="819" spans="3:12" ht="24" customHeight="1" x14ac:dyDescent="0.4">
      <c r="C819" s="134"/>
      <c r="L819" s="125"/>
    </row>
    <row r="820" spans="3:12" ht="24" customHeight="1" x14ac:dyDescent="0.4">
      <c r="C820" s="134"/>
      <c r="L820" s="125"/>
    </row>
    <row r="821" spans="3:12" ht="24" customHeight="1" x14ac:dyDescent="0.4">
      <c r="C821" s="134"/>
      <c r="L821" s="125"/>
    </row>
    <row r="822" spans="3:12" ht="24" customHeight="1" x14ac:dyDescent="0.4">
      <c r="C822" s="134"/>
      <c r="L822" s="125"/>
    </row>
    <row r="823" spans="3:12" ht="24" customHeight="1" x14ac:dyDescent="0.4">
      <c r="C823" s="134"/>
      <c r="L823" s="125"/>
    </row>
    <row r="824" spans="3:12" ht="24" customHeight="1" x14ac:dyDescent="0.4">
      <c r="C824" s="134"/>
      <c r="L824" s="125"/>
    </row>
    <row r="825" spans="3:12" ht="24" customHeight="1" x14ac:dyDescent="0.4">
      <c r="C825" s="134"/>
      <c r="L825" s="125"/>
    </row>
    <row r="826" spans="3:12" ht="24" customHeight="1" x14ac:dyDescent="0.4">
      <c r="C826" s="134"/>
      <c r="L826" s="125"/>
    </row>
    <row r="827" spans="3:12" ht="24" customHeight="1" x14ac:dyDescent="0.4">
      <c r="C827" s="134"/>
      <c r="L827" s="125"/>
    </row>
    <row r="828" spans="3:12" ht="24" customHeight="1" x14ac:dyDescent="0.4">
      <c r="C828" s="134"/>
      <c r="L828" s="125"/>
    </row>
    <row r="829" spans="3:12" ht="24" customHeight="1" x14ac:dyDescent="0.4">
      <c r="C829" s="134"/>
      <c r="L829" s="125"/>
    </row>
    <row r="830" spans="3:12" ht="24" customHeight="1" x14ac:dyDescent="0.4">
      <c r="C830" s="134"/>
      <c r="L830" s="125"/>
    </row>
    <row r="831" spans="3:12" ht="24" customHeight="1" x14ac:dyDescent="0.4">
      <c r="C831" s="134"/>
      <c r="L831" s="125"/>
    </row>
    <row r="832" spans="3:12" ht="24" customHeight="1" x14ac:dyDescent="0.4">
      <c r="C832" s="134"/>
      <c r="L832" s="125"/>
    </row>
    <row r="833" spans="3:12" ht="24" customHeight="1" x14ac:dyDescent="0.4">
      <c r="C833" s="134"/>
      <c r="L833" s="125"/>
    </row>
    <row r="834" spans="3:12" ht="24" customHeight="1" x14ac:dyDescent="0.4">
      <c r="C834" s="134"/>
      <c r="L834" s="125"/>
    </row>
    <row r="835" spans="3:12" ht="24" customHeight="1" x14ac:dyDescent="0.4">
      <c r="C835" s="134"/>
      <c r="L835" s="125"/>
    </row>
    <row r="836" spans="3:12" ht="24" customHeight="1" x14ac:dyDescent="0.4">
      <c r="C836" s="134"/>
      <c r="L836" s="125"/>
    </row>
    <row r="837" spans="3:12" ht="24" customHeight="1" x14ac:dyDescent="0.4">
      <c r="C837" s="134"/>
      <c r="L837" s="125"/>
    </row>
    <row r="838" spans="3:12" ht="24" customHeight="1" x14ac:dyDescent="0.4">
      <c r="C838" s="134"/>
      <c r="L838" s="125"/>
    </row>
    <row r="839" spans="3:12" ht="24" customHeight="1" x14ac:dyDescent="0.4">
      <c r="C839" s="134"/>
      <c r="L839" s="125"/>
    </row>
    <row r="840" spans="3:12" ht="24" customHeight="1" x14ac:dyDescent="0.4">
      <c r="C840" s="134"/>
      <c r="L840" s="125"/>
    </row>
    <row r="841" spans="3:12" ht="24" customHeight="1" x14ac:dyDescent="0.4">
      <c r="C841" s="134"/>
      <c r="L841" s="125"/>
    </row>
    <row r="842" spans="3:12" ht="24" customHeight="1" x14ac:dyDescent="0.4">
      <c r="C842" s="134"/>
      <c r="L842" s="125"/>
    </row>
    <row r="843" spans="3:12" ht="24" customHeight="1" x14ac:dyDescent="0.4">
      <c r="C843" s="134"/>
      <c r="L843" s="125"/>
    </row>
    <row r="844" spans="3:12" ht="24" customHeight="1" x14ac:dyDescent="0.4">
      <c r="C844" s="134"/>
      <c r="L844" s="125"/>
    </row>
    <row r="845" spans="3:12" ht="24" customHeight="1" x14ac:dyDescent="0.4">
      <c r="C845" s="134"/>
      <c r="L845" s="125"/>
    </row>
    <row r="846" spans="3:12" ht="24" customHeight="1" x14ac:dyDescent="0.4">
      <c r="C846" s="134"/>
      <c r="L846" s="125"/>
    </row>
    <row r="847" spans="3:12" ht="24" customHeight="1" x14ac:dyDescent="0.4">
      <c r="C847" s="134"/>
      <c r="L847" s="125"/>
    </row>
    <row r="848" spans="3:12" ht="24" customHeight="1" x14ac:dyDescent="0.4">
      <c r="C848" s="134"/>
      <c r="L848" s="125"/>
    </row>
    <row r="849" spans="3:12" ht="24" customHeight="1" x14ac:dyDescent="0.4">
      <c r="C849" s="134"/>
      <c r="L849" s="125"/>
    </row>
    <row r="850" spans="3:12" ht="24" customHeight="1" x14ac:dyDescent="0.4">
      <c r="C850" s="134"/>
      <c r="L850" s="125"/>
    </row>
    <row r="851" spans="3:12" ht="24" customHeight="1" x14ac:dyDescent="0.4">
      <c r="C851" s="134"/>
      <c r="L851" s="125"/>
    </row>
    <row r="852" spans="3:12" ht="24" customHeight="1" x14ac:dyDescent="0.4">
      <c r="C852" s="134"/>
      <c r="L852" s="125"/>
    </row>
    <row r="853" spans="3:12" ht="24" customHeight="1" x14ac:dyDescent="0.4">
      <c r="C853" s="134"/>
      <c r="L853" s="125"/>
    </row>
    <row r="854" spans="3:12" ht="24" customHeight="1" x14ac:dyDescent="0.4">
      <c r="C854" s="134"/>
      <c r="L854" s="125"/>
    </row>
    <row r="855" spans="3:12" ht="24" customHeight="1" x14ac:dyDescent="0.4">
      <c r="C855" s="134"/>
      <c r="L855" s="125"/>
    </row>
    <row r="856" spans="3:12" ht="24" customHeight="1" x14ac:dyDescent="0.4">
      <c r="C856" s="134"/>
      <c r="L856" s="125"/>
    </row>
    <row r="857" spans="3:12" ht="24" customHeight="1" x14ac:dyDescent="0.4">
      <c r="C857" s="134"/>
      <c r="L857" s="125"/>
    </row>
    <row r="858" spans="3:12" ht="24" customHeight="1" x14ac:dyDescent="0.4">
      <c r="C858" s="134"/>
      <c r="L858" s="125"/>
    </row>
    <row r="859" spans="3:12" ht="24" customHeight="1" x14ac:dyDescent="0.4">
      <c r="C859" s="134"/>
      <c r="L859" s="125"/>
    </row>
    <row r="860" spans="3:12" ht="24" customHeight="1" x14ac:dyDescent="0.4">
      <c r="C860" s="134"/>
      <c r="L860" s="125"/>
    </row>
    <row r="861" spans="3:12" ht="24" customHeight="1" x14ac:dyDescent="0.4">
      <c r="C861" s="134"/>
      <c r="L861" s="125"/>
    </row>
    <row r="862" spans="3:12" ht="24" customHeight="1" x14ac:dyDescent="0.4">
      <c r="C862" s="134"/>
      <c r="L862" s="125"/>
    </row>
    <row r="863" spans="3:12" ht="24" customHeight="1" x14ac:dyDescent="0.4">
      <c r="C863" s="134"/>
      <c r="L863" s="125"/>
    </row>
    <row r="864" spans="3:12" ht="24" customHeight="1" x14ac:dyDescent="0.4">
      <c r="C864" s="134"/>
      <c r="L864" s="125"/>
    </row>
    <row r="865" spans="3:12" ht="24" customHeight="1" x14ac:dyDescent="0.4">
      <c r="C865" s="134"/>
      <c r="L865" s="125"/>
    </row>
    <row r="866" spans="3:12" ht="24" customHeight="1" x14ac:dyDescent="0.4">
      <c r="C866" s="134"/>
      <c r="L866" s="125"/>
    </row>
    <row r="867" spans="3:12" ht="24" customHeight="1" x14ac:dyDescent="0.4">
      <c r="C867" s="134"/>
      <c r="L867" s="125"/>
    </row>
    <row r="868" spans="3:12" ht="24" customHeight="1" x14ac:dyDescent="0.4">
      <c r="C868" s="134"/>
      <c r="L868" s="125"/>
    </row>
    <row r="869" spans="3:12" ht="24" customHeight="1" x14ac:dyDescent="0.4">
      <c r="C869" s="134"/>
      <c r="L869" s="125"/>
    </row>
    <row r="870" spans="3:12" ht="24" customHeight="1" x14ac:dyDescent="0.4">
      <c r="C870" s="134"/>
      <c r="L870" s="125"/>
    </row>
    <row r="871" spans="3:12" ht="24" customHeight="1" x14ac:dyDescent="0.4">
      <c r="C871" s="134"/>
      <c r="L871" s="125"/>
    </row>
    <row r="872" spans="3:12" ht="24" customHeight="1" x14ac:dyDescent="0.4">
      <c r="C872" s="134"/>
      <c r="L872" s="125"/>
    </row>
    <row r="873" spans="3:12" ht="24" customHeight="1" x14ac:dyDescent="0.4">
      <c r="C873" s="134"/>
      <c r="L873" s="125"/>
    </row>
    <row r="874" spans="3:12" ht="24" customHeight="1" x14ac:dyDescent="0.4">
      <c r="C874" s="134"/>
      <c r="L874" s="125"/>
    </row>
    <row r="875" spans="3:12" ht="24" customHeight="1" x14ac:dyDescent="0.4">
      <c r="C875" s="134"/>
      <c r="L875" s="125"/>
    </row>
    <row r="876" spans="3:12" ht="24" customHeight="1" x14ac:dyDescent="0.4">
      <c r="C876" s="134"/>
      <c r="L876" s="125"/>
    </row>
    <row r="877" spans="3:12" ht="24" customHeight="1" x14ac:dyDescent="0.4">
      <c r="C877" s="134"/>
      <c r="L877" s="125"/>
    </row>
    <row r="878" spans="3:12" ht="24" customHeight="1" x14ac:dyDescent="0.4">
      <c r="C878" s="134"/>
      <c r="L878" s="125"/>
    </row>
    <row r="879" spans="3:12" ht="24" customHeight="1" x14ac:dyDescent="0.4">
      <c r="C879" s="134"/>
      <c r="L879" s="125"/>
    </row>
    <row r="880" spans="3:12" ht="24" customHeight="1" x14ac:dyDescent="0.4">
      <c r="C880" s="134"/>
      <c r="L880" s="125"/>
    </row>
    <row r="881" spans="3:12" ht="24" customHeight="1" x14ac:dyDescent="0.4">
      <c r="C881" s="134"/>
      <c r="L881" s="125"/>
    </row>
    <row r="882" spans="3:12" ht="24" customHeight="1" x14ac:dyDescent="0.4">
      <c r="C882" s="134"/>
      <c r="L882" s="125"/>
    </row>
    <row r="883" spans="3:12" ht="24" customHeight="1" x14ac:dyDescent="0.4">
      <c r="C883" s="134"/>
      <c r="L883" s="125"/>
    </row>
    <row r="884" spans="3:12" ht="24" customHeight="1" x14ac:dyDescent="0.4">
      <c r="C884" s="134"/>
      <c r="L884" s="125"/>
    </row>
    <row r="885" spans="3:12" ht="24" customHeight="1" x14ac:dyDescent="0.4">
      <c r="C885" s="134"/>
      <c r="L885" s="125"/>
    </row>
    <row r="886" spans="3:12" ht="24" customHeight="1" x14ac:dyDescent="0.4">
      <c r="C886" s="134"/>
      <c r="L886" s="125"/>
    </row>
    <row r="887" spans="3:12" ht="24" customHeight="1" x14ac:dyDescent="0.4">
      <c r="C887" s="134"/>
      <c r="L887" s="125"/>
    </row>
    <row r="888" spans="3:12" ht="24" customHeight="1" x14ac:dyDescent="0.4">
      <c r="C888" s="134"/>
      <c r="L888" s="125"/>
    </row>
    <row r="889" spans="3:12" ht="24" customHeight="1" x14ac:dyDescent="0.4">
      <c r="C889" s="134"/>
      <c r="L889" s="125"/>
    </row>
    <row r="890" spans="3:12" ht="24" customHeight="1" x14ac:dyDescent="0.4">
      <c r="C890" s="134"/>
      <c r="L890" s="125"/>
    </row>
    <row r="891" spans="3:12" ht="24" customHeight="1" x14ac:dyDescent="0.4">
      <c r="C891" s="134"/>
      <c r="L891" s="125"/>
    </row>
    <row r="892" spans="3:12" ht="24" customHeight="1" x14ac:dyDescent="0.4">
      <c r="C892" s="134"/>
      <c r="L892" s="125"/>
    </row>
    <row r="893" spans="3:12" ht="24" customHeight="1" x14ac:dyDescent="0.4">
      <c r="C893" s="134"/>
      <c r="L893" s="125"/>
    </row>
    <row r="894" spans="3:12" ht="24" customHeight="1" x14ac:dyDescent="0.4">
      <c r="C894" s="134"/>
      <c r="L894" s="125"/>
    </row>
    <row r="895" spans="3:12" ht="24" customHeight="1" x14ac:dyDescent="0.4">
      <c r="C895" s="134"/>
      <c r="L895" s="125"/>
    </row>
    <row r="896" spans="3:12" ht="24" customHeight="1" x14ac:dyDescent="0.4">
      <c r="C896" s="134"/>
      <c r="L896" s="125"/>
    </row>
    <row r="897" spans="3:12" ht="24" customHeight="1" x14ac:dyDescent="0.4">
      <c r="C897" s="134"/>
      <c r="L897" s="125"/>
    </row>
    <row r="898" spans="3:12" ht="24" customHeight="1" x14ac:dyDescent="0.4">
      <c r="C898" s="134"/>
      <c r="L898" s="125"/>
    </row>
    <row r="899" spans="3:12" ht="24" customHeight="1" x14ac:dyDescent="0.4">
      <c r="C899" s="134"/>
      <c r="L899" s="125"/>
    </row>
    <row r="900" spans="3:12" ht="24" customHeight="1" x14ac:dyDescent="0.4">
      <c r="C900" s="134"/>
      <c r="L900" s="125"/>
    </row>
    <row r="901" spans="3:12" ht="24" customHeight="1" x14ac:dyDescent="0.4">
      <c r="C901" s="134"/>
      <c r="L901" s="125"/>
    </row>
    <row r="902" spans="3:12" ht="24" customHeight="1" x14ac:dyDescent="0.4">
      <c r="C902" s="134"/>
      <c r="L902" s="125"/>
    </row>
    <row r="903" spans="3:12" ht="24" customHeight="1" x14ac:dyDescent="0.4">
      <c r="C903" s="134"/>
      <c r="L903" s="125"/>
    </row>
    <row r="904" spans="3:12" ht="24" customHeight="1" x14ac:dyDescent="0.4">
      <c r="C904" s="134"/>
      <c r="L904" s="125"/>
    </row>
    <row r="905" spans="3:12" ht="24" customHeight="1" x14ac:dyDescent="0.4">
      <c r="C905" s="134"/>
      <c r="L905" s="125"/>
    </row>
    <row r="906" spans="3:12" ht="24" customHeight="1" x14ac:dyDescent="0.4">
      <c r="C906" s="134"/>
      <c r="L906" s="125"/>
    </row>
    <row r="907" spans="3:12" ht="24" customHeight="1" x14ac:dyDescent="0.4">
      <c r="C907" s="134"/>
      <c r="L907" s="125"/>
    </row>
    <row r="908" spans="3:12" ht="24" customHeight="1" x14ac:dyDescent="0.4">
      <c r="C908" s="134"/>
      <c r="L908" s="125"/>
    </row>
    <row r="909" spans="3:12" ht="24" customHeight="1" x14ac:dyDescent="0.4">
      <c r="C909" s="134"/>
      <c r="L909" s="125"/>
    </row>
    <row r="910" spans="3:12" ht="24" customHeight="1" x14ac:dyDescent="0.4">
      <c r="C910" s="134"/>
      <c r="L910" s="125"/>
    </row>
    <row r="911" spans="3:12" ht="24" customHeight="1" x14ac:dyDescent="0.4">
      <c r="C911" s="134"/>
      <c r="L911" s="125"/>
    </row>
    <row r="912" spans="3:12" ht="24" customHeight="1" x14ac:dyDescent="0.4">
      <c r="C912" s="134"/>
      <c r="L912" s="125"/>
    </row>
    <row r="913" spans="3:12" ht="24" customHeight="1" x14ac:dyDescent="0.4">
      <c r="C913" s="134"/>
      <c r="L913" s="125"/>
    </row>
    <row r="914" spans="3:12" ht="24" customHeight="1" x14ac:dyDescent="0.4">
      <c r="C914" s="134"/>
      <c r="L914" s="125"/>
    </row>
    <row r="915" spans="3:12" ht="24" customHeight="1" x14ac:dyDescent="0.4">
      <c r="C915" s="134"/>
      <c r="L915" s="125"/>
    </row>
    <row r="916" spans="3:12" ht="24" customHeight="1" x14ac:dyDescent="0.4">
      <c r="C916" s="134"/>
      <c r="L916" s="125"/>
    </row>
    <row r="917" spans="3:12" ht="24" customHeight="1" x14ac:dyDescent="0.4">
      <c r="C917" s="134"/>
      <c r="L917" s="125"/>
    </row>
    <row r="918" spans="3:12" ht="24" customHeight="1" x14ac:dyDescent="0.4">
      <c r="C918" s="134"/>
      <c r="L918" s="125"/>
    </row>
    <row r="919" spans="3:12" ht="24" customHeight="1" x14ac:dyDescent="0.4">
      <c r="C919" s="134"/>
      <c r="L919" s="125"/>
    </row>
    <row r="920" spans="3:12" ht="24" customHeight="1" x14ac:dyDescent="0.4">
      <c r="C920" s="134"/>
      <c r="L920" s="125"/>
    </row>
    <row r="921" spans="3:12" ht="24" customHeight="1" x14ac:dyDescent="0.4">
      <c r="C921" s="134"/>
      <c r="L921" s="125"/>
    </row>
    <row r="922" spans="3:12" ht="24" customHeight="1" x14ac:dyDescent="0.4">
      <c r="C922" s="134"/>
      <c r="L922" s="125"/>
    </row>
    <row r="923" spans="3:12" ht="24" customHeight="1" x14ac:dyDescent="0.4">
      <c r="C923" s="134"/>
      <c r="L923" s="125"/>
    </row>
    <row r="924" spans="3:12" ht="24" customHeight="1" x14ac:dyDescent="0.4">
      <c r="C924" s="134"/>
      <c r="L924" s="125"/>
    </row>
    <row r="925" spans="3:12" ht="24" customHeight="1" x14ac:dyDescent="0.4">
      <c r="C925" s="134"/>
      <c r="L925" s="125"/>
    </row>
    <row r="926" spans="3:12" ht="24" customHeight="1" x14ac:dyDescent="0.4">
      <c r="C926" s="134"/>
      <c r="L926" s="125"/>
    </row>
    <row r="927" spans="3:12" ht="24" customHeight="1" x14ac:dyDescent="0.4">
      <c r="C927" s="134"/>
      <c r="L927" s="125"/>
    </row>
    <row r="928" spans="3:12" ht="24" customHeight="1" x14ac:dyDescent="0.4">
      <c r="C928" s="134"/>
      <c r="L928" s="125"/>
    </row>
    <row r="929" spans="3:12" ht="24" customHeight="1" x14ac:dyDescent="0.4">
      <c r="C929" s="134"/>
      <c r="L929" s="125"/>
    </row>
    <row r="930" spans="3:12" ht="24" customHeight="1" x14ac:dyDescent="0.4">
      <c r="C930" s="134"/>
      <c r="L930" s="125"/>
    </row>
    <row r="931" spans="3:12" ht="24" customHeight="1" x14ac:dyDescent="0.4">
      <c r="C931" s="134"/>
      <c r="L931" s="125"/>
    </row>
    <row r="932" spans="3:12" ht="24" customHeight="1" x14ac:dyDescent="0.4">
      <c r="C932" s="134"/>
      <c r="L932" s="125"/>
    </row>
    <row r="933" spans="3:12" ht="24" customHeight="1" x14ac:dyDescent="0.4">
      <c r="C933" s="134"/>
      <c r="L933" s="125"/>
    </row>
    <row r="934" spans="3:12" ht="24" customHeight="1" x14ac:dyDescent="0.4">
      <c r="C934" s="134"/>
      <c r="L934" s="125"/>
    </row>
    <row r="935" spans="3:12" ht="24" customHeight="1" x14ac:dyDescent="0.4">
      <c r="C935" s="134"/>
      <c r="L935" s="125"/>
    </row>
    <row r="936" spans="3:12" ht="24" customHeight="1" x14ac:dyDescent="0.4">
      <c r="C936" s="134"/>
      <c r="L936" s="125"/>
    </row>
    <row r="937" spans="3:12" ht="24" customHeight="1" x14ac:dyDescent="0.4">
      <c r="C937" s="134"/>
      <c r="L937" s="125"/>
    </row>
    <row r="938" spans="3:12" ht="24" customHeight="1" x14ac:dyDescent="0.4">
      <c r="C938" s="134"/>
      <c r="L938" s="125"/>
    </row>
    <row r="939" spans="3:12" ht="24" customHeight="1" x14ac:dyDescent="0.4">
      <c r="C939" s="134"/>
      <c r="L939" s="125"/>
    </row>
    <row r="940" spans="3:12" ht="24" customHeight="1" x14ac:dyDescent="0.4">
      <c r="C940" s="134"/>
      <c r="L940" s="125"/>
    </row>
    <row r="941" spans="3:12" ht="24" customHeight="1" x14ac:dyDescent="0.4">
      <c r="C941" s="134"/>
      <c r="L941" s="125"/>
    </row>
    <row r="942" spans="3:12" ht="24" customHeight="1" x14ac:dyDescent="0.4">
      <c r="C942" s="134"/>
      <c r="L942" s="125"/>
    </row>
    <row r="943" spans="3:12" ht="24" customHeight="1" x14ac:dyDescent="0.4">
      <c r="C943" s="134"/>
      <c r="L943" s="125"/>
    </row>
    <row r="944" spans="3:12" ht="24" customHeight="1" x14ac:dyDescent="0.4">
      <c r="C944" s="134"/>
      <c r="L944" s="125"/>
    </row>
    <row r="945" spans="3:12" ht="24" customHeight="1" x14ac:dyDescent="0.4">
      <c r="C945" s="134"/>
      <c r="L945" s="125"/>
    </row>
    <row r="946" spans="3:12" ht="24" customHeight="1" x14ac:dyDescent="0.4">
      <c r="C946" s="134"/>
      <c r="L946" s="125"/>
    </row>
    <row r="947" spans="3:12" ht="24" customHeight="1" x14ac:dyDescent="0.4">
      <c r="C947" s="134"/>
      <c r="L947" s="125"/>
    </row>
    <row r="948" spans="3:12" ht="24" customHeight="1" x14ac:dyDescent="0.4">
      <c r="C948" s="134"/>
      <c r="L948" s="125"/>
    </row>
    <row r="949" spans="3:12" ht="24" customHeight="1" x14ac:dyDescent="0.4">
      <c r="C949" s="134"/>
      <c r="L949" s="125"/>
    </row>
    <row r="950" spans="3:12" ht="24" customHeight="1" x14ac:dyDescent="0.4">
      <c r="C950" s="134"/>
      <c r="L950" s="125"/>
    </row>
    <row r="951" spans="3:12" ht="24" customHeight="1" x14ac:dyDescent="0.4">
      <c r="C951" s="134"/>
      <c r="L951" s="125"/>
    </row>
    <row r="952" spans="3:12" ht="24" customHeight="1" x14ac:dyDescent="0.4">
      <c r="C952" s="134"/>
      <c r="L952" s="125"/>
    </row>
    <row r="953" spans="3:12" ht="24" customHeight="1" x14ac:dyDescent="0.4">
      <c r="C953" s="134"/>
      <c r="L953" s="125"/>
    </row>
    <row r="954" spans="3:12" ht="24" customHeight="1" x14ac:dyDescent="0.4">
      <c r="C954" s="134"/>
      <c r="L954" s="125"/>
    </row>
    <row r="955" spans="3:12" ht="24" customHeight="1" x14ac:dyDescent="0.4">
      <c r="C955" s="134"/>
      <c r="L955" s="125"/>
    </row>
    <row r="956" spans="3:12" ht="24" customHeight="1" x14ac:dyDescent="0.4">
      <c r="C956" s="134"/>
      <c r="L956" s="125"/>
    </row>
    <row r="957" spans="3:12" ht="24" customHeight="1" x14ac:dyDescent="0.4">
      <c r="C957" s="134"/>
      <c r="L957" s="125"/>
    </row>
    <row r="958" spans="3:12" ht="24" customHeight="1" x14ac:dyDescent="0.4">
      <c r="C958" s="134"/>
      <c r="L958" s="125"/>
    </row>
    <row r="959" spans="3:12" ht="24" customHeight="1" x14ac:dyDescent="0.4">
      <c r="C959" s="134"/>
      <c r="L959" s="125"/>
    </row>
    <row r="960" spans="3:12" ht="24" customHeight="1" x14ac:dyDescent="0.4">
      <c r="C960" s="134"/>
      <c r="L960" s="125"/>
    </row>
    <row r="961" spans="3:12" ht="24" customHeight="1" x14ac:dyDescent="0.4">
      <c r="C961" s="134"/>
      <c r="L961" s="125"/>
    </row>
    <row r="962" spans="3:12" ht="24" customHeight="1" x14ac:dyDescent="0.4">
      <c r="C962" s="134"/>
      <c r="L962" s="125"/>
    </row>
    <row r="963" spans="3:12" ht="24" customHeight="1" x14ac:dyDescent="0.4">
      <c r="C963" s="134"/>
      <c r="L963" s="125"/>
    </row>
    <row r="964" spans="3:12" ht="24" customHeight="1" x14ac:dyDescent="0.4">
      <c r="C964" s="134"/>
      <c r="L964" s="125"/>
    </row>
    <row r="965" spans="3:12" ht="24" customHeight="1" x14ac:dyDescent="0.4">
      <c r="C965" s="134"/>
      <c r="L965" s="125"/>
    </row>
    <row r="966" spans="3:12" ht="24" customHeight="1" x14ac:dyDescent="0.4">
      <c r="C966" s="134"/>
      <c r="L966" s="125"/>
    </row>
    <row r="967" spans="3:12" ht="24" customHeight="1" x14ac:dyDescent="0.4">
      <c r="C967" s="134"/>
      <c r="L967" s="125"/>
    </row>
    <row r="968" spans="3:12" ht="24" customHeight="1" x14ac:dyDescent="0.4">
      <c r="C968" s="134"/>
      <c r="L968" s="125"/>
    </row>
    <row r="969" spans="3:12" ht="24" customHeight="1" x14ac:dyDescent="0.4">
      <c r="C969" s="134"/>
      <c r="L969" s="125"/>
    </row>
    <row r="970" spans="3:12" ht="24" customHeight="1" x14ac:dyDescent="0.4">
      <c r="C970" s="134"/>
      <c r="L970" s="125"/>
    </row>
    <row r="971" spans="3:12" ht="24" customHeight="1" x14ac:dyDescent="0.4">
      <c r="C971" s="134"/>
      <c r="L971" s="125"/>
    </row>
    <row r="972" spans="3:12" ht="24" customHeight="1" x14ac:dyDescent="0.4">
      <c r="C972" s="134"/>
      <c r="L972" s="125"/>
    </row>
    <row r="973" spans="3:12" ht="24" customHeight="1" x14ac:dyDescent="0.4">
      <c r="C973" s="134"/>
      <c r="L973" s="125"/>
    </row>
    <row r="974" spans="3:12" ht="24" customHeight="1" x14ac:dyDescent="0.4">
      <c r="C974" s="134"/>
      <c r="L974" s="125"/>
    </row>
    <row r="975" spans="3:12" ht="24" customHeight="1" x14ac:dyDescent="0.4">
      <c r="C975" s="134"/>
      <c r="L975" s="125"/>
    </row>
    <row r="976" spans="3:12" ht="24" customHeight="1" x14ac:dyDescent="0.4">
      <c r="C976" s="134"/>
      <c r="L976" s="125"/>
    </row>
    <row r="977" spans="3:12" ht="24" customHeight="1" x14ac:dyDescent="0.4">
      <c r="C977" s="134"/>
      <c r="L977" s="125"/>
    </row>
    <row r="978" spans="3:12" ht="24" customHeight="1" x14ac:dyDescent="0.4">
      <c r="C978" s="134"/>
      <c r="L978" s="125"/>
    </row>
    <row r="979" spans="3:12" ht="24" customHeight="1" x14ac:dyDescent="0.4">
      <c r="C979" s="134"/>
      <c r="L979" s="125"/>
    </row>
    <row r="980" spans="3:12" ht="24" customHeight="1" x14ac:dyDescent="0.4">
      <c r="C980" s="134"/>
      <c r="L980" s="125"/>
    </row>
    <row r="981" spans="3:12" ht="24" customHeight="1" x14ac:dyDescent="0.4">
      <c r="C981" s="134"/>
      <c r="L981" s="125"/>
    </row>
    <row r="982" spans="3:12" ht="24" customHeight="1" x14ac:dyDescent="0.4">
      <c r="C982" s="134"/>
      <c r="L982" s="125"/>
    </row>
    <row r="983" spans="3:12" ht="24" customHeight="1" x14ac:dyDescent="0.4">
      <c r="C983" s="134"/>
      <c r="L983" s="125"/>
    </row>
    <row r="984" spans="3:12" ht="24" customHeight="1" x14ac:dyDescent="0.4">
      <c r="C984" s="134"/>
      <c r="L984" s="125"/>
    </row>
    <row r="985" spans="3:12" ht="24" customHeight="1" x14ac:dyDescent="0.4">
      <c r="C985" s="134"/>
      <c r="L985" s="125"/>
    </row>
    <row r="986" spans="3:12" ht="24" customHeight="1" x14ac:dyDescent="0.4">
      <c r="C986" s="134"/>
      <c r="L986" s="125"/>
    </row>
    <row r="987" spans="3:12" ht="24" customHeight="1" x14ac:dyDescent="0.4">
      <c r="C987" s="134"/>
      <c r="L987" s="125"/>
    </row>
    <row r="988" spans="3:12" ht="24" customHeight="1" x14ac:dyDescent="0.4">
      <c r="C988" s="134"/>
      <c r="L988" s="125"/>
    </row>
    <row r="989" spans="3:12" ht="24" customHeight="1" x14ac:dyDescent="0.4">
      <c r="C989" s="134"/>
      <c r="L989" s="125"/>
    </row>
    <row r="990" spans="3:12" ht="24" customHeight="1" x14ac:dyDescent="0.4">
      <c r="C990" s="134"/>
      <c r="L990" s="125"/>
    </row>
    <row r="991" spans="3:12" ht="24" customHeight="1" x14ac:dyDescent="0.4">
      <c r="C991" s="134"/>
      <c r="L991" s="125"/>
    </row>
    <row r="992" spans="3:12" ht="24" customHeight="1" x14ac:dyDescent="0.4">
      <c r="C992" s="134"/>
      <c r="L992" s="125"/>
    </row>
    <row r="993" spans="3:12" ht="24" customHeight="1" x14ac:dyDescent="0.4">
      <c r="C993" s="134"/>
      <c r="L993" s="125"/>
    </row>
    <row r="994" spans="3:12" ht="24" customHeight="1" x14ac:dyDescent="0.4">
      <c r="C994" s="134"/>
      <c r="L994" s="125"/>
    </row>
    <row r="995" spans="3:12" ht="24" customHeight="1" x14ac:dyDescent="0.4">
      <c r="C995" s="134"/>
      <c r="L995" s="125"/>
    </row>
    <row r="996" spans="3:12" ht="24" customHeight="1" x14ac:dyDescent="0.4">
      <c r="C996" s="134"/>
      <c r="L996" s="125"/>
    </row>
    <row r="997" spans="3:12" ht="24" customHeight="1" x14ac:dyDescent="0.4">
      <c r="C997" s="134"/>
      <c r="L997" s="125"/>
    </row>
    <row r="998" spans="3:12" ht="24" customHeight="1" x14ac:dyDescent="0.4">
      <c r="C998" s="134"/>
      <c r="L998" s="125"/>
    </row>
    <row r="999" spans="3:12" ht="24" customHeight="1" x14ac:dyDescent="0.4">
      <c r="C999" s="134"/>
      <c r="L999" s="125"/>
    </row>
    <row r="1000" spans="3:12" ht="24" customHeight="1" x14ac:dyDescent="0.4">
      <c r="C1000" s="134"/>
      <c r="L1000" s="125"/>
    </row>
    <row r="1001" spans="3:12" ht="24" customHeight="1" x14ac:dyDescent="0.4">
      <c r="C1001" s="134"/>
      <c r="L1001" s="125"/>
    </row>
    <row r="1002" spans="3:12" ht="24" customHeight="1" x14ac:dyDescent="0.4">
      <c r="C1002" s="134"/>
      <c r="L1002" s="125"/>
    </row>
    <row r="1003" spans="3:12" ht="24" customHeight="1" x14ac:dyDescent="0.4">
      <c r="C1003" s="134"/>
      <c r="L1003" s="125"/>
    </row>
    <row r="1004" spans="3:12" ht="24" customHeight="1" x14ac:dyDescent="0.4">
      <c r="C1004" s="134"/>
      <c r="L1004" s="125"/>
    </row>
    <row r="1005" spans="3:12" ht="24" customHeight="1" x14ac:dyDescent="0.4">
      <c r="C1005" s="134"/>
      <c r="L1005" s="125"/>
    </row>
    <row r="1006" spans="3:12" ht="24" customHeight="1" x14ac:dyDescent="0.4">
      <c r="C1006" s="134"/>
      <c r="L1006" s="125"/>
    </row>
    <row r="1007" spans="3:12" ht="24" customHeight="1" x14ac:dyDescent="0.4">
      <c r="C1007" s="134"/>
      <c r="L1007" s="125"/>
    </row>
    <row r="1008" spans="3:12" ht="24" customHeight="1" x14ac:dyDescent="0.4">
      <c r="C1008" s="134"/>
      <c r="L1008" s="125"/>
    </row>
    <row r="1009" spans="3:12" ht="24" customHeight="1" x14ac:dyDescent="0.4">
      <c r="C1009" s="134"/>
      <c r="L1009" s="125"/>
    </row>
    <row r="1010" spans="3:12" ht="24" customHeight="1" x14ac:dyDescent="0.4">
      <c r="C1010" s="134"/>
      <c r="L1010" s="125"/>
    </row>
    <row r="1011" spans="3:12" ht="24" customHeight="1" x14ac:dyDescent="0.4">
      <c r="C1011" s="134"/>
      <c r="L1011" s="125"/>
    </row>
    <row r="1012" spans="3:12" ht="24" customHeight="1" x14ac:dyDescent="0.4">
      <c r="C1012" s="134"/>
      <c r="L1012" s="125"/>
    </row>
    <row r="1013" spans="3:12" ht="24" customHeight="1" x14ac:dyDescent="0.4">
      <c r="C1013" s="134"/>
      <c r="L1013" s="125"/>
    </row>
    <row r="1014" spans="3:12" ht="24" customHeight="1" x14ac:dyDescent="0.4">
      <c r="C1014" s="134"/>
      <c r="L1014" s="125"/>
    </row>
    <row r="1015" spans="3:12" ht="24" customHeight="1" x14ac:dyDescent="0.4">
      <c r="C1015" s="134"/>
      <c r="L1015" s="125"/>
    </row>
    <row r="1016" spans="3:12" ht="24" customHeight="1" x14ac:dyDescent="0.4">
      <c r="C1016" s="134"/>
      <c r="L1016" s="125"/>
    </row>
    <row r="1017" spans="3:12" ht="24" customHeight="1" x14ac:dyDescent="0.4">
      <c r="C1017" s="134"/>
      <c r="L1017" s="125"/>
    </row>
    <row r="1018" spans="3:12" ht="24" customHeight="1" x14ac:dyDescent="0.4">
      <c r="C1018" s="134"/>
      <c r="L1018" s="125"/>
    </row>
    <row r="1019" spans="3:12" ht="24" customHeight="1" x14ac:dyDescent="0.4">
      <c r="C1019" s="134"/>
      <c r="L1019" s="125"/>
    </row>
    <row r="1020" spans="3:12" ht="24" customHeight="1" x14ac:dyDescent="0.4">
      <c r="C1020" s="134"/>
      <c r="L1020" s="125"/>
    </row>
    <row r="1021" spans="3:12" ht="24" customHeight="1" x14ac:dyDescent="0.4">
      <c r="C1021" s="134"/>
      <c r="L1021" s="125"/>
    </row>
    <row r="1022" spans="3:12" ht="24" customHeight="1" x14ac:dyDescent="0.4">
      <c r="C1022" s="134"/>
      <c r="L1022" s="125"/>
    </row>
    <row r="1023" spans="3:12" ht="24" customHeight="1" x14ac:dyDescent="0.4">
      <c r="C1023" s="134"/>
      <c r="L1023" s="125"/>
    </row>
    <row r="1024" spans="3:12" ht="24" customHeight="1" x14ac:dyDescent="0.4">
      <c r="C1024" s="134"/>
      <c r="L1024" s="125"/>
    </row>
    <row r="1025" spans="3:12" ht="24" customHeight="1" x14ac:dyDescent="0.4">
      <c r="C1025" s="134"/>
      <c r="L1025" s="125"/>
    </row>
    <row r="1026" spans="3:12" ht="24" customHeight="1" x14ac:dyDescent="0.4">
      <c r="C1026" s="134"/>
      <c r="L1026" s="125"/>
    </row>
    <row r="1027" spans="3:12" ht="24" customHeight="1" x14ac:dyDescent="0.4">
      <c r="C1027" s="134"/>
      <c r="L1027" s="125"/>
    </row>
    <row r="1028" spans="3:12" ht="24" customHeight="1" x14ac:dyDescent="0.4">
      <c r="C1028" s="134"/>
      <c r="L1028" s="125"/>
    </row>
    <row r="1029" spans="3:12" ht="24" customHeight="1" x14ac:dyDescent="0.4">
      <c r="C1029" s="134"/>
      <c r="L1029" s="125"/>
    </row>
    <row r="1030" spans="3:12" ht="24" customHeight="1" x14ac:dyDescent="0.4">
      <c r="C1030" s="134"/>
      <c r="L1030" s="125"/>
    </row>
    <row r="1031" spans="3:12" ht="24" customHeight="1" x14ac:dyDescent="0.4">
      <c r="C1031" s="134"/>
      <c r="L1031" s="125"/>
    </row>
    <row r="1032" spans="3:12" ht="24" customHeight="1" x14ac:dyDescent="0.4">
      <c r="C1032" s="134"/>
      <c r="L1032" s="125"/>
    </row>
    <row r="1033" spans="3:12" ht="24" customHeight="1" x14ac:dyDescent="0.4">
      <c r="C1033" s="134"/>
      <c r="L1033" s="125"/>
    </row>
    <row r="1034" spans="3:12" ht="24" customHeight="1" x14ac:dyDescent="0.4">
      <c r="C1034" s="134"/>
      <c r="L1034" s="125"/>
    </row>
    <row r="1035" spans="3:12" ht="24" customHeight="1" x14ac:dyDescent="0.4">
      <c r="C1035" s="134"/>
      <c r="L1035" s="125"/>
    </row>
    <row r="1036" spans="3:12" ht="24" customHeight="1" x14ac:dyDescent="0.4">
      <c r="C1036" s="134"/>
      <c r="L1036" s="125"/>
    </row>
    <row r="1037" spans="3:12" ht="24" customHeight="1" x14ac:dyDescent="0.4">
      <c r="C1037" s="134"/>
      <c r="L1037" s="125"/>
    </row>
    <row r="1038" spans="3:12" ht="24" customHeight="1" x14ac:dyDescent="0.4">
      <c r="C1038" s="134"/>
      <c r="L1038" s="125"/>
    </row>
    <row r="1039" spans="3:12" ht="24" customHeight="1" x14ac:dyDescent="0.4">
      <c r="C1039" s="134"/>
      <c r="L1039" s="125"/>
    </row>
    <row r="1040" spans="3:12" ht="24" customHeight="1" x14ac:dyDescent="0.4">
      <c r="C1040" s="134"/>
      <c r="L1040" s="125"/>
    </row>
    <row r="1041" spans="3:12" ht="24" customHeight="1" x14ac:dyDescent="0.4">
      <c r="C1041" s="134"/>
      <c r="L1041" s="125"/>
    </row>
    <row r="1042" spans="3:12" ht="24" customHeight="1" x14ac:dyDescent="0.4">
      <c r="C1042" s="134"/>
      <c r="L1042" s="125"/>
    </row>
    <row r="1043" spans="3:12" ht="24" customHeight="1" x14ac:dyDescent="0.4">
      <c r="C1043" s="134"/>
      <c r="L1043" s="125"/>
    </row>
    <row r="1044" spans="3:12" ht="24" customHeight="1" x14ac:dyDescent="0.4">
      <c r="C1044" s="134"/>
      <c r="L1044" s="125"/>
    </row>
    <row r="1045" spans="3:12" ht="24" customHeight="1" x14ac:dyDescent="0.4">
      <c r="C1045" s="134"/>
      <c r="L1045" s="125"/>
    </row>
    <row r="1046" spans="3:12" ht="24" customHeight="1" x14ac:dyDescent="0.4">
      <c r="C1046" s="134"/>
      <c r="L1046" s="125"/>
    </row>
    <row r="1047" spans="3:12" ht="24" customHeight="1" x14ac:dyDescent="0.4">
      <c r="C1047" s="134"/>
      <c r="L1047" s="125"/>
    </row>
    <row r="1048" spans="3:12" ht="24" customHeight="1" x14ac:dyDescent="0.4">
      <c r="C1048" s="134"/>
      <c r="L1048" s="125"/>
    </row>
    <row r="1049" spans="3:12" ht="24" customHeight="1" x14ac:dyDescent="0.4">
      <c r="C1049" s="134"/>
      <c r="L1049" s="125"/>
    </row>
    <row r="1050" spans="3:12" ht="24" customHeight="1" x14ac:dyDescent="0.4">
      <c r="C1050" s="134"/>
      <c r="L1050" s="125"/>
    </row>
    <row r="1051" spans="3:12" ht="24" customHeight="1" x14ac:dyDescent="0.4">
      <c r="C1051" s="134"/>
      <c r="L1051" s="125"/>
    </row>
    <row r="1052" spans="3:12" ht="24" customHeight="1" x14ac:dyDescent="0.4">
      <c r="C1052" s="134"/>
      <c r="L1052" s="125"/>
    </row>
    <row r="1053" spans="3:12" ht="24" customHeight="1" x14ac:dyDescent="0.4">
      <c r="C1053" s="134"/>
      <c r="L1053" s="125"/>
    </row>
    <row r="1054" spans="3:12" ht="24" customHeight="1" x14ac:dyDescent="0.4">
      <c r="C1054" s="134"/>
      <c r="L1054" s="125"/>
    </row>
    <row r="1055" spans="3:12" ht="24" customHeight="1" x14ac:dyDescent="0.4">
      <c r="C1055" s="134"/>
      <c r="L1055" s="125"/>
    </row>
    <row r="1056" spans="3:12" ht="24" customHeight="1" x14ac:dyDescent="0.4">
      <c r="C1056" s="134"/>
      <c r="L1056" s="125"/>
    </row>
    <row r="1057" spans="3:12" ht="24" customHeight="1" x14ac:dyDescent="0.4">
      <c r="C1057" s="134"/>
      <c r="L1057" s="125"/>
    </row>
    <row r="1058" spans="3:12" ht="24" customHeight="1" x14ac:dyDescent="0.4">
      <c r="C1058" s="134"/>
      <c r="L1058" s="125"/>
    </row>
    <row r="1059" spans="3:12" ht="24" customHeight="1" x14ac:dyDescent="0.4">
      <c r="C1059" s="134"/>
      <c r="L1059" s="125"/>
    </row>
  </sheetData>
  <autoFilter ref="A2:N137" xr:uid="{5D0EA7BE-1A62-477A-AAC8-3EB8CDADE0BF}">
    <sortState xmlns:xlrd2="http://schemas.microsoft.com/office/spreadsheetml/2017/richdata2" ref="A3:N137">
      <sortCondition descending="1" ref="M2:M137"/>
    </sortState>
  </autoFilter>
  <mergeCells count="1">
    <mergeCell ref="B1:D1"/>
  </mergeCells>
  <phoneticPr fontId="1" type="noConversion"/>
  <conditionalFormatting sqref="A3:XFD1059">
    <cfRule type="expression" dxfId="2" priority="2">
      <formula>MOD(ROW(),2)=0</formula>
    </cfRule>
  </conditionalFormatting>
  <conditionalFormatting sqref="D3:D1059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68" t="s">
        <v>140</v>
      </c>
      <c r="D1" s="168"/>
      <c r="E1" s="168"/>
      <c r="F1" s="168"/>
      <c r="G1" s="168"/>
      <c r="H1" s="168"/>
      <c r="I1" s="168"/>
      <c r="J1" s="168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-27.8</v>
      </c>
      <c r="D3" s="72">
        <v>-43.7</v>
      </c>
      <c r="E3" s="74">
        <v>-35.299999999999997</v>
      </c>
      <c r="F3" s="72">
        <v>-28.2</v>
      </c>
      <c r="G3" s="68">
        <v>-25.8</v>
      </c>
      <c r="H3" s="74">
        <v>-4.5999999999999996</v>
      </c>
      <c r="I3" s="72">
        <v>-52.3</v>
      </c>
      <c r="J3" s="122">
        <v>-3.1</v>
      </c>
    </row>
    <row r="4" spans="2:10" ht="24" customHeight="1" x14ac:dyDescent="0.4">
      <c r="B4" s="97" t="s">
        <v>129</v>
      </c>
      <c r="C4" s="68">
        <v>-28.3</v>
      </c>
      <c r="D4" s="72">
        <v>-46.2</v>
      </c>
      <c r="E4" s="74">
        <v>-36.9</v>
      </c>
      <c r="F4" s="72">
        <v>-31.8</v>
      </c>
      <c r="G4" s="68">
        <v>-26.2</v>
      </c>
      <c r="H4" s="74">
        <v>2.6</v>
      </c>
      <c r="I4" s="72">
        <v>-54.7</v>
      </c>
      <c r="J4" s="122">
        <v>-4.9000000000000004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-27.8</v>
      </c>
      <c r="D7" s="92" cm="1">
        <f t="array" ref="D7:D14">TRANSPOSE(C4:J4)</f>
        <v>-28.3</v>
      </c>
    </row>
    <row r="8" spans="2:10" ht="24" customHeight="1" x14ac:dyDescent="0.4">
      <c r="C8" s="92">
        <v>-43.7</v>
      </c>
      <c r="D8" s="92">
        <v>-46.2</v>
      </c>
    </row>
    <row r="9" spans="2:10" ht="24" customHeight="1" x14ac:dyDescent="0.4">
      <c r="C9" s="92">
        <v>-35.299999999999997</v>
      </c>
      <c r="D9" s="92">
        <v>-36.9</v>
      </c>
    </row>
    <row r="10" spans="2:10" ht="24" customHeight="1" x14ac:dyDescent="0.4">
      <c r="C10" s="92">
        <v>-28.2</v>
      </c>
      <c r="D10" s="92">
        <v>-31.8</v>
      </c>
    </row>
    <row r="11" spans="2:10" ht="24" customHeight="1" x14ac:dyDescent="0.4">
      <c r="C11" s="92">
        <v>-25.8</v>
      </c>
      <c r="D11" s="92">
        <v>-26.2</v>
      </c>
    </row>
    <row r="12" spans="2:10" ht="24" customHeight="1" x14ac:dyDescent="0.4">
      <c r="C12" s="92">
        <v>-4.5999999999999996</v>
      </c>
      <c r="D12" s="92">
        <v>2.6</v>
      </c>
    </row>
    <row r="13" spans="2:10" ht="24" customHeight="1" x14ac:dyDescent="0.4">
      <c r="C13" s="92">
        <v>-52.3</v>
      </c>
      <c r="D13" s="92">
        <v>-54.7</v>
      </c>
    </row>
    <row r="14" spans="2:10" ht="24" customHeight="1" x14ac:dyDescent="0.4">
      <c r="C14" s="92">
        <v>-3.1</v>
      </c>
      <c r="D14" s="92">
        <v>-4.9000000000000004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9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9"/>
      <c r="B2" s="170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9"/>
      <c r="B3" s="171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2026-09-20T06:28:46Z</dcterms:modified>
</cp:coreProperties>
</file>