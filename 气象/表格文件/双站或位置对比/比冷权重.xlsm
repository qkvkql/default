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E0F2D572-7B19-48D7-B93B-C8C531436EE0}" xr6:coauthVersionLast="47" xr6:coauthVersionMax="47" xr10:uidLastSave="{00000000-0000-0000-0000-000000000000}"/>
  <bookViews>
    <workbookView xWindow="-98" yWindow="-98" windowWidth="21795" windowHeight="12975" activeTab="1" xr2:uid="{61358E34-2C71-424E-88ED-402A34315EC4}"/>
  </bookViews>
  <sheets>
    <sheet name="高阶对比表" sheetId="1" r:id="rId1"/>
    <sheet name="站点关联数据记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10" i="2"/>
  <c r="A11" i="2"/>
  <c r="A4" i="2"/>
  <c r="AK1" i="2" s="1"/>
  <c r="G1" i="1"/>
  <c r="F1" i="1"/>
  <c r="H6" i="1"/>
  <c r="H7" i="1"/>
  <c r="H8" i="1"/>
  <c r="H9" i="1"/>
  <c r="H10" i="1"/>
  <c r="H11" i="1"/>
  <c r="H12" i="1"/>
  <c r="H5" i="1"/>
  <c r="B13" i="1"/>
  <c r="P1" i="2" l="1"/>
  <c r="AJ1" i="2"/>
  <c r="AI1" i="2"/>
  <c r="R1" i="2"/>
  <c r="AH1" i="2"/>
  <c r="W1" i="2"/>
  <c r="T1" i="2"/>
  <c r="AG1" i="2"/>
  <c r="I1" i="2"/>
  <c r="AE1" i="2"/>
  <c r="Z1" i="2"/>
  <c r="AO1" i="2"/>
  <c r="F1" i="2"/>
  <c r="AS1" i="2"/>
  <c r="G13" i="1" a="1"/>
  <c r="G13" i="1" s="1"/>
  <c r="AL1" i="2"/>
  <c r="AM1" i="2"/>
  <c r="AF1" i="2"/>
  <c r="L1" i="2"/>
  <c r="AD1" i="2"/>
  <c r="M1" i="2"/>
  <c r="N1" i="2"/>
  <c r="AR1" i="2"/>
  <c r="AQ1" i="2"/>
  <c r="AN1" i="2"/>
  <c r="AP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<sst xmlns="http://schemas.openxmlformats.org/spreadsheetml/2006/main" count="85" uniqueCount="75">
  <si>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</si>
  <si>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</si>
  <si>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</si>
  <si>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</si>
  <si>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</si>
  <si>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</si>
  <si>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</si>
  <si>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</si>
  <si>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</si>
  <si>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</si>
  <si>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</si>
  <si>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</si>
  <si>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</si>
  <si>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</si>
  <si>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</si>
  <si>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</si>
  <si>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</si>
  <si>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</si>
  <si>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</si>
  <si>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</si>
  <si>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</si>
  <si>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</si>
  <si>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</si>
  <si>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</si>
  <si>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</si>
  <si>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</si>
  <si>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</si>
  <si>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</si>
  <si>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</si>
  <si>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</si>
  <si>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</si>
  <si>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</si>
  <si>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</si>
  <si>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</si>
  <si>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</si>
  <si>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</si>
  <si>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</si>
  <si>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</si>
  <si>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</si>
  <si>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</si>
  <si>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</si>
  <si>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</si>
  <si>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</si>
  <si>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</si>
  <si>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</si>
  <si>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</si>
  <si>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</si>
  <si>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</si>
  <si>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</si>
  <si>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</si>
  <si>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</si>
  <si>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</si>
  <si>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</si>
  <si>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</si>
  <si>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</si>
  <si>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</si>
  <si>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</si>
  <si>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</si>
  <si>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</si>
  <si>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</si>
  <si>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</si>
  <si>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</si>
  <si>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</si>
  <si>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</si>
  <si>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</si>
  <si>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</si>
  <si>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</si>
  <si>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</si>
  <si>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</si>
  <si>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</si>
  <si>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</si>
  <si>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</si>
  <si>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</si>
  <si>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</si>
  <si>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1991~2020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</si>
</sst>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31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5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29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0" fontId="27" fillId="10" borderId="22" xfId="0" applyFont="1" applyFill="1" applyBorder="1" applyAlignment="1">
      <alignment horizontal="center" vertical="center" shrinkToFit="1"/>
    </xf>
    <xf numFmtId="9" fontId="25" fillId="0" borderId="21" xfId="1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0" fontId="26" fillId="10" borderId="24" xfId="0" applyFont="1" applyFill="1" applyBorder="1" applyAlignment="1">
      <alignment horizontal="center" vertical="center" shrinkToFit="1"/>
    </xf>
    <xf numFmtId="9" fontId="25" fillId="0" borderId="22" xfId="1" applyFont="1" applyBorder="1" applyAlignment="1">
      <alignment horizontal="center" vertical="center"/>
    </xf>
    <xf numFmtId="178" fontId="25" fillId="0" borderId="14" xfId="0" applyNumberFormat="1" applyFont="1" applyBorder="1" applyAlignment="1">
      <alignment horizontal="center" vertical="center"/>
    </xf>
    <xf numFmtId="178" fontId="32" fillId="6" borderId="12" xfId="0" applyNumberFormat="1" applyFont="1" applyFill="1" applyBorder="1" applyAlignment="1">
      <alignment horizontal="right" vertical="center" wrapText="1" indent="2"/>
    </xf>
    <xf numFmtId="178" fontId="20" fillId="6" borderId="12" xfId="0" applyNumberFormat="1" applyFont="1" applyFill="1" applyBorder="1" applyAlignment="1">
      <alignment horizontal="right" vertical="center" wrapText="1" indent="2"/>
    </xf>
    <xf numFmtId="0" fontId="25" fillId="0" borderId="22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 wrapText="1"/>
    </xf>
    <xf numFmtId="0" fontId="34" fillId="0" borderId="14" xfId="0" applyFont="1" applyBorder="1" applyAlignment="1">
      <alignment horizontal="right" vertical="center" wrapText="1" indent="2" shrinkToFit="1"/>
    </xf>
    <xf numFmtId="0" fontId="35" fillId="7" borderId="13" xfId="0" applyFont="1" applyFill="1" applyBorder="1" applyAlignment="1">
      <alignment horizontal="right" vertical="center" wrapText="1"/>
    </xf>
    <xf numFmtId="9" fontId="36" fillId="0" borderId="21" xfId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23" fillId="9" borderId="26" xfId="0" applyFont="1" applyFill="1" applyBorder="1" applyAlignment="1">
      <alignment horizontal="center" vertical="center" shrinkToFit="1"/>
    </xf>
    <xf numFmtId="0" fontId="23" fillId="9" borderId="27" xfId="0" applyFont="1" applyFill="1" applyBorder="1" applyAlignment="1">
      <alignment horizontal="center" vertical="center" shrinkToFit="1"/>
    </xf>
    <xf numFmtId="0" fontId="33" fillId="9" borderId="25" xfId="0" applyFont="1" applyFill="1" applyBorder="1" applyAlignment="1">
      <alignment horizontal="center" vertical="center" wrapText="1" shrinkToFit="1"/>
    </xf>
    <xf numFmtId="0" fontId="28" fillId="9" borderId="5" xfId="0" applyFont="1" applyFill="1" applyBorder="1" applyAlignment="1">
      <alignment horizontal="center" vertical="center" wrapText="1" shrinkToFit="1"/>
    </xf>
    <xf numFmtId="0" fontId="28" fillId="9" borderId="17" xfId="0" applyFont="1" applyFill="1" applyBorder="1" applyAlignment="1">
      <alignment horizontal="center" vertical="center" wrapText="1" shrinkToFit="1"/>
    </xf>
    <xf numFmtId="0" fontId="23" fillId="9" borderId="0" xfId="0" applyFont="1" applyFill="1" applyAlignment="1">
      <alignment horizontal="center" vertical="center" shrinkToFit="1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23" xfId="0" applyFont="1" applyFill="1" applyBorder="1" applyAlignment="1">
      <alignment horizontal="center" vertical="center" shrinkToFit="1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7209B7"/>
      <color rgb="FF4361EE"/>
      <color rgb="FFF72585"/>
      <color rgb="FF203764"/>
      <color rgb="FF3C096C"/>
      <color rgb="FF240046"/>
      <color rgb="FF10002B"/>
      <color rgb="FFFF00FF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8" customWidth="1"/>
    <col min="10" max="10" width="16.59765625" style="37" customWidth="1"/>
    <col min="11" max="16384" width="9.06640625" style="1"/>
  </cols>
  <sheetData>
    <row r="1" spans="1:10" ht="32" customHeight="1" x14ac:dyDescent="0.4">
      <c r="E1" s="40" t="s">
        <v>24</v>
      </c>
      <c r="F1" s="36">
        <f xml:space="preserve"> $B5*(-F5) + $B6*(-F6) + $B7*(-F7) + $B8*(-F8) + $B9*(-F9) + $B10*(-F10) + $B11*(-F11) + $B12*(-F12)</f>
        <v>28.883000000000003</v>
      </c>
      <c r="G1" s="36">
        <f xml:space="preserve"> $B5*(-G5) + $B6*(-G6) + $B7*(-G7) + $B8*(-G8) + $B9*(-G9) + $B10*(-G10) + $B11*(-G11) + $B12*(-G12)</f>
        <v>29.749000000000002</v>
      </c>
      <c r="H1" s="28">
        <f>SUM(H5:H12)</f>
        <v>1</v>
      </c>
      <c r="I1" s="38" t="s">
        <v>29</v>
      </c>
      <c r="J1" s="37">
        <f>ABS(F1-G1)</f>
        <v>0.86599999999999966</v>
      </c>
    </row>
    <row r="2" spans="1:10" ht="24" customHeight="1" x14ac:dyDescent="0.4">
      <c r="A2" s="63" t="s">
        <v>5</v>
      </c>
      <c r="B2" s="64"/>
      <c r="C2" s="65"/>
      <c r="D2" s="26"/>
      <c r="E2" s="81" t="s">
        <v>74</v>
      </c>
      <c r="F2" s="69" t="s">
        <v>23</v>
      </c>
      <c r="G2" s="69"/>
      <c r="H2" s="70"/>
    </row>
    <row r="3" spans="1:10" ht="24" customHeight="1" thickBot="1" x14ac:dyDescent="0.45">
      <c r="A3" s="66"/>
      <c r="B3" s="67"/>
      <c r="C3" s="68"/>
      <c r="D3" s="26"/>
      <c r="E3" s="82"/>
      <c r="F3" s="71"/>
      <c r="G3" s="71"/>
      <c r="H3" s="72"/>
    </row>
    <row r="4" spans="1:10" s="2" customFormat="1" ht="40.049999999999997" customHeight="1" x14ac:dyDescent="0.4">
      <c r="A4" s="14" t="s">
        <v>3</v>
      </c>
      <c r="B4" s="14" t="s">
        <v>2</v>
      </c>
      <c r="C4" s="14" t="s">
        <v>4</v>
      </c>
      <c r="D4" s="27"/>
      <c r="E4" s="29" t="s">
        <v>3</v>
      </c>
      <c r="F4" s="46" t="s">
        <v>70</v>
      </c>
      <c r="G4" s="47" t="s">
        <v>49</v>
      </c>
      <c r="H4" s="30" t="s">
        <v>14</v>
      </c>
      <c r="I4" s="39"/>
      <c r="J4" s="37"/>
    </row>
    <row r="5" spans="1:10" ht="50" customHeight="1" x14ac:dyDescent="0.4">
      <c r="A5" s="12" t="s">
        <v>6</v>
      </c>
      <c r="B5" s="8">
        <v>0.35</v>
      </c>
      <c r="C5" s="3" t="s">
        <v>1</v>
      </c>
      <c r="D5" s="22"/>
      <c r="E5" s="17" t="s">
        <v>21</v>
      </c>
      <c r="F5" s="33">
        <v>-24.9</v>
      </c>
      <c r="G5" s="33">
        <v>-26.3</v>
      </c>
      <c r="H5" s="15">
        <f>B5</f>
        <v>0.35</v>
      </c>
    </row>
    <row r="6" spans="1:10" ht="50" customHeight="1" x14ac:dyDescent="0.4">
      <c r="A6" s="12" t="s">
        <v>16</v>
      </c>
      <c r="B6" s="9">
        <v>0.2</v>
      </c>
      <c r="C6" s="5" t="s">
        <v>0</v>
      </c>
      <c r="D6" s="23"/>
      <c r="E6" s="20" t="s">
        <v>44</v>
      </c>
      <c r="F6" s="34">
        <v>-37.4</v>
      </c>
      <c r="G6" s="34">
        <v>-40.6</v>
      </c>
      <c r="H6" s="21">
        <f t="shared" ref="H6:H12" si="0">B6</f>
        <v>0.2</v>
      </c>
    </row>
    <row r="7" spans="1:10" ht="50" customHeight="1" x14ac:dyDescent="0.4">
      <c r="A7" s="12" t="s">
        <v>19</v>
      </c>
      <c r="B7" s="10">
        <v>0.15</v>
      </c>
      <c r="C7" s="4" t="s">
        <v>0</v>
      </c>
      <c r="D7" s="24"/>
      <c r="E7" s="18" t="s">
        <v>45</v>
      </c>
      <c r="F7" s="33">
        <v>-37.5</v>
      </c>
      <c r="G7" s="33">
        <v>-34.5</v>
      </c>
      <c r="H7" s="16">
        <f t="shared" si="0"/>
        <v>0.15</v>
      </c>
    </row>
    <row r="8" spans="1:10" ht="50" customHeight="1" x14ac:dyDescent="0.4">
      <c r="A8" s="12" t="s">
        <v>17</v>
      </c>
      <c r="B8" s="10">
        <v>0.1</v>
      </c>
      <c r="C8" s="6" t="s">
        <v>38</v>
      </c>
      <c r="D8" s="25"/>
      <c r="E8" s="20" t="s">
        <v>46</v>
      </c>
      <c r="F8" s="34">
        <v>-28</v>
      </c>
      <c r="G8" s="34">
        <v>-28.1</v>
      </c>
      <c r="H8" s="21">
        <f t="shared" si="0"/>
        <v>0.1</v>
      </c>
    </row>
    <row r="9" spans="1:10" ht="50" customHeight="1" x14ac:dyDescent="0.4">
      <c r="A9" s="12" t="s">
        <v>18</v>
      </c>
      <c r="B9" s="10">
        <v>0.08</v>
      </c>
      <c r="C9" s="6" t="s">
        <v>9</v>
      </c>
      <c r="D9" s="25"/>
      <c r="E9" s="18" t="s">
        <v>47</v>
      </c>
      <c r="F9" s="33">
        <v>-22.3</v>
      </c>
      <c r="G9" s="33">
        <v>-23.1</v>
      </c>
      <c r="H9" s="16">
        <f>B9</f>
        <v>0.08</v>
      </c>
    </row>
    <row r="10" spans="1:10" ht="50" customHeight="1" x14ac:dyDescent="0.4">
      <c r="A10" s="12" t="s">
        <v>15</v>
      </c>
      <c r="B10" s="11">
        <v>0.05</v>
      </c>
      <c r="C10" s="6" t="s">
        <v>10</v>
      </c>
      <c r="D10" s="25"/>
      <c r="E10" s="20" t="s">
        <v>15</v>
      </c>
      <c r="F10" s="34">
        <v>-1</v>
      </c>
      <c r="G10" s="34">
        <v>-0.7</v>
      </c>
      <c r="H10" s="21">
        <f t="shared" si="0"/>
        <v>0.05</v>
      </c>
    </row>
    <row r="11" spans="1:10" ht="50" customHeight="1" x14ac:dyDescent="0.4">
      <c r="A11" s="13" t="s">
        <v>22</v>
      </c>
      <c r="B11" s="11">
        <v>0.05</v>
      </c>
      <c r="C11" s="5" t="s">
        <v>0</v>
      </c>
      <c r="D11" s="23"/>
      <c r="E11" s="19" t="s">
        <v>48</v>
      </c>
      <c r="F11" s="33">
        <v>-48.5</v>
      </c>
      <c r="G11" s="33">
        <v>-49.6</v>
      </c>
      <c r="H11" s="16">
        <f t="shared" si="0"/>
        <v>0.05</v>
      </c>
    </row>
    <row r="12" spans="1:10" ht="50" customHeight="1" x14ac:dyDescent="0.4">
      <c r="A12" s="12" t="s">
        <v>7</v>
      </c>
      <c r="B12" s="11">
        <v>0.02</v>
      </c>
      <c r="C12" s="6" t="s">
        <v>8</v>
      </c>
      <c r="D12" s="25"/>
      <c r="E12" s="20" t="s">
        <v>7</v>
      </c>
      <c r="F12" s="35">
        <v>-0.2</v>
      </c>
      <c r="G12" s="35">
        <v>-3.8</v>
      </c>
      <c r="H12" s="21">
        <f t="shared" si="0"/>
        <v>0.02</v>
      </c>
      <c r="J12" s="37" t="s">
        <v>27</v>
      </c>
    </row>
    <row r="13" spans="1:10" ht="60" customHeight="1" x14ac:dyDescent="0.4">
      <c r="B13" s="7">
        <f>SUM(B5:B12)</f>
        <v>1</v>
      </c>
      <c r="E13" s="61" t="s">
        <v>55</v>
      </c>
      <c r="F13" s="56" t="str" cm="1">
        <f t="array" ref="F13" xml:space="preserve"> _xlfn.IFS( F1&gt;G1, _xlfn.CONCAT(TEXT((F1-G1), "0.0"), "°C"), F1&lt;G1, "败方", F1=G1, "平局" )</f>
        <v>败方</v>
      </c>
      <c r="G13" s="55" t="str" cm="1">
        <f t="array" ref="G13" xml:space="preserve"> _xlfn.IFS( F1&lt;G1, _xlfn.CONCAT(TEXT((G1-F1), "0.0"), "°C"), F1&gt;G1, "败方", F1=G1, "平局" )</f>
        <v>0.9°C</v>
      </c>
      <c r="H13" s="45">
        <f>SUM(H5:H12)</f>
        <v>1</v>
      </c>
    </row>
    <row r="14" spans="1:10" ht="44" customHeight="1" x14ac:dyDescent="0.4">
      <c r="E14" s="12" t="s">
        <v>13</v>
      </c>
      <c r="F14" s="31"/>
      <c r="G14" s="31"/>
      <c r="H14" s="16">
        <v>0</v>
      </c>
    </row>
    <row r="15" spans="1:10" ht="44" customHeight="1" x14ac:dyDescent="0.4">
      <c r="E15" s="12" t="s">
        <v>11</v>
      </c>
      <c r="F15" s="32"/>
      <c r="G15" s="32"/>
      <c r="H15" s="16">
        <v>0</v>
      </c>
    </row>
    <row r="16" spans="1:10" ht="44" customHeight="1" x14ac:dyDescent="0.4">
      <c r="E16" s="12" t="s">
        <v>12</v>
      </c>
      <c r="F16" s="32"/>
      <c r="G16" s="32"/>
      <c r="H16" s="16">
        <v>0</v>
      </c>
    </row>
    <row r="17" spans="5:8" ht="44" customHeight="1" x14ac:dyDescent="0.4">
      <c r="E17" s="12" t="s">
        <v>20</v>
      </c>
      <c r="F17" s="32"/>
      <c r="G17" s="32"/>
      <c r="H17" s="16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7" priority="10" aboveAverage="0"/>
  </conditionalFormatting>
  <conditionalFormatting sqref="F6:G6">
    <cfRule type="aboveAverage" dxfId="6" priority="6" aboveAverage="0"/>
  </conditionalFormatting>
  <conditionalFormatting sqref="F7:G7">
    <cfRule type="aboveAverage" dxfId="5" priority="9" aboveAverage="0"/>
  </conditionalFormatting>
  <conditionalFormatting sqref="F8:G8">
    <cfRule type="aboveAverage" dxfId="4" priority="5" aboveAverage="0"/>
  </conditionalFormatting>
  <conditionalFormatting sqref="F9:G9">
    <cfRule type="aboveAverage" dxfId="3" priority="8" aboveAverage="0"/>
  </conditionalFormatting>
  <conditionalFormatting sqref="F10:G10">
    <cfRule type="aboveAverage" dxfId="2" priority="4" aboveAverage="0"/>
  </conditionalFormatting>
  <conditionalFormatting sqref="F11:G11">
    <cfRule type="aboveAverage" dxfId="1" priority="7" aboveAverage="0"/>
  </conditionalFormatting>
  <conditionalFormatting sqref="F12:G12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S11"/>
  <sheetViews>
    <sheetView tabSelected="1" workbookViewId="0">
      <pane xSplit="2" topLeftCell="C1" activePane="topRight" state="frozen"/>
      <selection pane="topRight" activeCell="B1" sqref="B1"/>
    </sheetView>
  </sheetViews>
  <sheetFormatPr defaultColWidth="14.59765625" defaultRowHeight="24" customHeight="1" x14ac:dyDescent="0.4"/>
  <cols>
    <col min="1" max="1" width="8.59765625" style="42" customWidth="1"/>
    <col min="2" max="2" width="32.59765625" style="41" customWidth="1"/>
    <col min="3" max="16384" width="14.59765625" style="42"/>
  </cols>
  <sheetData>
    <row r="1" spans="1:45" s="51" customFormat="1" ht="24" customHeight="1" x14ac:dyDescent="0.4">
      <c r="A1" s="75" t="s">
        <v>54</v>
      </c>
      <c r="B1" s="60" t="s">
        <v>61</v>
      </c>
      <c r="C1" s="54">
        <f xml:space="preserve"> $A4 * (-C4) + $A5 * (-C5) + $A6 * (-C6) + $A7 * (-C7) + $A8 * (-C8) + $A9 * (-C9) + $A10 * (-C10) + $A11 * (-C11)</f>
        <v>40.68</v>
      </c>
      <c r="D1" s="54">
        <f xml:space="preserve"> $A4 * (-D4) + $A5 * (-D5) + $A6 * (-D6) + $A7 * (-D7) + $A8 * (-D8) + $A9 * (-D9) + $A10 * (-D10) + $A11 * (-D11)</f>
        <v>42.218000000000004</v>
      </c>
      <c r="E1" s="54">
        <f t="shared" ref="E1:AS1" si="0" xml:space="preserve"> $A4 * (-E4) + $A5 * (-E5) + $A6 * (-E6) + $A7 * (-E7) + $A8 * (-E8) + $A9 * (-E9) + $A10 * (-E10) + $A11 * (-E11)</f>
        <v>49.416999999999994</v>
      </c>
      <c r="F1" s="54">
        <f t="shared" si="0"/>
        <v>50.216000000000001</v>
      </c>
      <c r="G1" s="54">
        <f t="shared" si="0"/>
        <v>48.267000000000003</v>
      </c>
      <c r="H1" s="54">
        <f t="shared" si="0"/>
        <v>48.23</v>
      </c>
      <c r="I1" s="54">
        <f t="shared" si="0"/>
        <v>49.571000000000005</v>
      </c>
      <c r="J1" s="54">
        <f t="shared" si="0"/>
        <v>48.379999999999995</v>
      </c>
      <c r="K1" s="54">
        <f t="shared" si="0"/>
        <v>40.496000000000002</v>
      </c>
      <c r="L1" s="54">
        <f t="shared" si="0"/>
        <v>41.235000000000007</v>
      </c>
      <c r="M1" s="54">
        <f t="shared" si="0"/>
        <v>43.195999999999998</v>
      </c>
      <c r="N1" s="54">
        <f t="shared" si="0"/>
        <v>41.457000000000008</v>
      </c>
      <c r="O1" s="54">
        <f t="shared" si="0"/>
        <v>21.165000000000003</v>
      </c>
      <c r="P1" s="54">
        <f t="shared" si="0"/>
        <v>21.723000000000006</v>
      </c>
      <c r="Q1" s="54">
        <f t="shared" si="0"/>
        <v>20.953999999999997</v>
      </c>
      <c r="R1" s="54">
        <f t="shared" si="0"/>
        <v>22.681999999999999</v>
      </c>
      <c r="S1" s="54">
        <f t="shared" si="0"/>
        <v>31.989000000000004</v>
      </c>
      <c r="T1" s="54">
        <f t="shared" si="0"/>
        <v>31.725000000000001</v>
      </c>
      <c r="U1" s="54">
        <f t="shared" si="0"/>
        <v>32.410999999999994</v>
      </c>
      <c r="V1" s="54">
        <f t="shared" si="0"/>
        <v>31.53</v>
      </c>
      <c r="W1" s="54">
        <f t="shared" si="0"/>
        <v>32.398000000000003</v>
      </c>
      <c r="X1" s="54">
        <f t="shared" si="0"/>
        <v>32.835000000000001</v>
      </c>
      <c r="Y1" s="54">
        <f t="shared" si="0"/>
        <v>29.749000000000002</v>
      </c>
      <c r="Z1" s="54">
        <f t="shared" si="0"/>
        <v>29.983000000000001</v>
      </c>
      <c r="AA1" s="54">
        <f t="shared" si="0"/>
        <v>27.293999999999997</v>
      </c>
      <c r="AB1" s="54">
        <f t="shared" si="0"/>
        <v>23.795000000000005</v>
      </c>
      <c r="AC1" s="54">
        <f t="shared" si="0"/>
        <v>25.555</v>
      </c>
      <c r="AD1" s="54">
        <f t="shared" si="0"/>
        <v>33.673000000000002</v>
      </c>
      <c r="AE1" s="54">
        <f t="shared" si="0"/>
        <v>34.797000000000004</v>
      </c>
      <c r="AF1" s="54">
        <f t="shared" si="0"/>
        <v>35.296000000000006</v>
      </c>
      <c r="AG1" s="54">
        <f t="shared" si="0"/>
        <v>32.586000000000006</v>
      </c>
      <c r="AH1" s="54">
        <f t="shared" si="0"/>
        <v>34.329000000000001</v>
      </c>
      <c r="AI1" s="54">
        <f t="shared" si="0"/>
        <v>22.686000000000003</v>
      </c>
      <c r="AJ1" s="54">
        <f t="shared" si="0"/>
        <v>23.117000000000001</v>
      </c>
      <c r="AK1" s="54">
        <f t="shared" si="0"/>
        <v>25.062000000000005</v>
      </c>
      <c r="AL1" s="54">
        <f t="shared" si="0"/>
        <v>0</v>
      </c>
      <c r="AM1" s="54">
        <f t="shared" si="0"/>
        <v>0</v>
      </c>
      <c r="AN1" s="54">
        <f t="shared" si="0"/>
        <v>0</v>
      </c>
      <c r="AO1" s="54">
        <f t="shared" si="0"/>
        <v>0</v>
      </c>
      <c r="AP1" s="54">
        <f t="shared" si="0"/>
        <v>0</v>
      </c>
      <c r="AQ1" s="54">
        <f t="shared" si="0"/>
        <v>0</v>
      </c>
      <c r="AR1" s="54">
        <f t="shared" si="0"/>
        <v>28.883000000000003</v>
      </c>
      <c r="AS1" s="54">
        <f t="shared" si="0"/>
        <v>30.017000000000007</v>
      </c>
    </row>
    <row r="2" spans="1:45" s="44" customFormat="1" ht="32" customHeight="1" x14ac:dyDescent="0.4">
      <c r="A2" s="75"/>
      <c r="B2" s="76" t="s">
        <v>53</v>
      </c>
      <c r="C2" s="78" t="s">
        <v>25</v>
      </c>
      <c r="D2" s="79"/>
      <c r="E2" s="80" t="s">
        <v>35</v>
      </c>
      <c r="F2" s="78"/>
      <c r="G2" s="79"/>
      <c r="H2" s="73" t="s">
        <v>43</v>
      </c>
      <c r="I2" s="74"/>
      <c r="J2" s="43" t="s">
        <v>37</v>
      </c>
      <c r="K2" s="44" t="s">
        <v>26</v>
      </c>
      <c r="L2" s="44" t="s">
        <v>28</v>
      </c>
      <c r="M2" s="44" t="s">
        <v>32</v>
      </c>
      <c r="N2" s="44" t="s">
        <v>30</v>
      </c>
      <c r="O2" s="73" t="s">
        <v>33</v>
      </c>
      <c r="P2" s="74"/>
      <c r="Q2" s="73" t="s">
        <v>34</v>
      </c>
      <c r="R2" s="74"/>
      <c r="S2" s="80" t="s">
        <v>39</v>
      </c>
      <c r="T2" s="78"/>
      <c r="U2" s="79"/>
      <c r="V2" s="44" t="s">
        <v>40</v>
      </c>
      <c r="W2" s="73" t="s">
        <v>42</v>
      </c>
      <c r="X2" s="74"/>
      <c r="Y2" s="73" t="s">
        <v>49</v>
      </c>
      <c r="Z2" s="74"/>
      <c r="AA2" s="44" t="s">
        <v>50</v>
      </c>
      <c r="AB2" s="44" t="s">
        <v>51</v>
      </c>
      <c r="AC2" s="44" t="s">
        <v>52</v>
      </c>
      <c r="AD2" s="73" t="s">
        <v>56</v>
      </c>
      <c r="AE2" s="74"/>
      <c r="AF2" s="44" t="s">
        <v>57</v>
      </c>
      <c r="AG2" s="73" t="s">
        <v>71</v>
      </c>
      <c r="AH2" s="74"/>
      <c r="AI2" s="73" t="s">
        <v>72</v>
      </c>
      <c r="AJ2" s="74"/>
      <c r="AK2" s="43" t="s">
        <v>73</v>
      </c>
      <c r="AL2" s="44" t="s">
        <v>58</v>
      </c>
      <c r="AM2" s="44" t="s">
        <v>66</v>
      </c>
      <c r="AN2" s="44" t="s">
        <v>67</v>
      </c>
      <c r="AO2" s="44" t="s">
        <v>59</v>
      </c>
      <c r="AP2" s="44" t="s">
        <v>60</v>
      </c>
      <c r="AQ2" s="44" t="s">
        <v>68</v>
      </c>
      <c r="AR2" s="73" t="s">
        <v>69</v>
      </c>
      <c r="AS2" s="74"/>
    </row>
    <row r="3" spans="1:45" s="48" customFormat="1" ht="24" customHeight="1" x14ac:dyDescent="0.4">
      <c r="A3" s="75"/>
      <c r="B3" s="77"/>
      <c r="C3" s="52">
        <v>9120</v>
      </c>
      <c r="D3" s="49">
        <v>6190</v>
      </c>
      <c r="E3" s="48">
        <v>9120</v>
      </c>
      <c r="F3" s="48">
        <v>6190</v>
      </c>
      <c r="G3" s="49" t="s">
        <v>36</v>
      </c>
      <c r="H3" s="48">
        <v>9120</v>
      </c>
      <c r="I3" s="49">
        <v>6190</v>
      </c>
      <c r="J3" s="49" t="s">
        <v>36</v>
      </c>
      <c r="K3" s="48">
        <v>9120</v>
      </c>
      <c r="L3" s="48">
        <v>9120</v>
      </c>
      <c r="M3" s="49">
        <v>6190</v>
      </c>
      <c r="N3" s="49">
        <v>6190</v>
      </c>
      <c r="O3" s="48">
        <v>9120</v>
      </c>
      <c r="P3" s="49">
        <v>6190</v>
      </c>
      <c r="Q3" s="48">
        <v>9120</v>
      </c>
      <c r="R3" s="49">
        <v>6190</v>
      </c>
      <c r="S3" s="49">
        <v>9720</v>
      </c>
      <c r="T3" s="48">
        <v>9120</v>
      </c>
      <c r="U3" s="49" t="s">
        <v>41</v>
      </c>
      <c r="V3" s="49">
        <v>9720</v>
      </c>
      <c r="W3" s="48">
        <v>9120</v>
      </c>
      <c r="X3" s="49">
        <v>6190</v>
      </c>
      <c r="Y3" s="48">
        <v>9120</v>
      </c>
      <c r="Z3" s="49">
        <v>6190</v>
      </c>
      <c r="AA3" s="48">
        <v>9120</v>
      </c>
      <c r="AB3" s="48">
        <v>9120</v>
      </c>
      <c r="AC3" s="48">
        <v>9120</v>
      </c>
      <c r="AD3" s="48">
        <v>9120</v>
      </c>
      <c r="AE3" s="49">
        <v>6190</v>
      </c>
      <c r="AF3" s="48">
        <v>9120</v>
      </c>
      <c r="AG3" s="48">
        <v>9120</v>
      </c>
      <c r="AH3" s="49">
        <v>6190</v>
      </c>
      <c r="AI3" s="48">
        <v>9120</v>
      </c>
      <c r="AJ3" s="49">
        <v>6190</v>
      </c>
      <c r="AK3" s="48">
        <v>9120</v>
      </c>
      <c r="AR3" s="48">
        <v>9120</v>
      </c>
      <c r="AS3" s="49">
        <v>6190</v>
      </c>
    </row>
    <row r="4" spans="1:45" ht="24" customHeight="1" x14ac:dyDescent="0.4">
      <c r="A4" s="53">
        <f>高阶对比表!B5</f>
        <v>0.35</v>
      </c>
      <c r="B4" s="57" t="s">
        <v>6</v>
      </c>
      <c r="C4" s="42">
        <v>-36.6</v>
      </c>
      <c r="D4" s="42">
        <v>-38.799999999999997</v>
      </c>
      <c r="E4" s="42">
        <v>-45.7</v>
      </c>
      <c r="F4" s="42">
        <v>-47</v>
      </c>
      <c r="G4" s="42">
        <v>-45</v>
      </c>
      <c r="H4" s="42">
        <v>-44.7</v>
      </c>
      <c r="I4" s="42">
        <v>-47</v>
      </c>
      <c r="J4" s="42">
        <v>-42.8</v>
      </c>
      <c r="K4" s="42">
        <v>-34.799999999999997</v>
      </c>
      <c r="L4" s="42">
        <v>-37</v>
      </c>
      <c r="M4" s="42">
        <v>-38.1</v>
      </c>
      <c r="N4" s="42">
        <v>-37.799999999999997</v>
      </c>
      <c r="O4" s="42">
        <v>-15.8</v>
      </c>
      <c r="P4" s="42">
        <v>-16</v>
      </c>
      <c r="Q4" s="42">
        <v>-17.3</v>
      </c>
      <c r="R4" s="42">
        <v>-19.100000000000001</v>
      </c>
      <c r="S4" s="42">
        <v>-28.4</v>
      </c>
      <c r="T4" s="42">
        <v>-28.2</v>
      </c>
      <c r="U4" s="42">
        <v>-29.4</v>
      </c>
      <c r="V4" s="42">
        <v>-28</v>
      </c>
      <c r="W4" s="42">
        <v>-27.9</v>
      </c>
      <c r="X4" s="42">
        <v>-28.4</v>
      </c>
      <c r="Y4" s="42">
        <v>-26.3</v>
      </c>
      <c r="Z4" s="42">
        <v>-26.3</v>
      </c>
      <c r="AA4" s="42">
        <v>-22.8</v>
      </c>
      <c r="AB4" s="42">
        <v>-17.600000000000001</v>
      </c>
      <c r="AC4" s="42">
        <v>-21.3</v>
      </c>
      <c r="AD4" s="42">
        <v>-31.3</v>
      </c>
      <c r="AE4" s="42">
        <v>-32.299999999999997</v>
      </c>
      <c r="AF4" s="42">
        <v>-32.4</v>
      </c>
      <c r="AG4" s="42">
        <v>-28.7</v>
      </c>
      <c r="AH4" s="42">
        <v>-30.4</v>
      </c>
      <c r="AI4" s="42">
        <v>-14.5</v>
      </c>
      <c r="AJ4" s="42">
        <v>-15.8</v>
      </c>
      <c r="AK4" s="42">
        <v>-21.6</v>
      </c>
      <c r="AR4" s="42">
        <v>-24.9</v>
      </c>
      <c r="AS4" s="42">
        <v>-26.1</v>
      </c>
    </row>
    <row r="5" spans="1:45" ht="24" customHeight="1" x14ac:dyDescent="0.4">
      <c r="A5" s="50">
        <f>高阶对比表!B6</f>
        <v>0.2</v>
      </c>
      <c r="B5" s="58" t="s">
        <v>62</v>
      </c>
      <c r="C5" s="42">
        <v>-53.1</v>
      </c>
      <c r="D5" s="42">
        <v>-54.6</v>
      </c>
      <c r="E5" s="42">
        <v>-59.1</v>
      </c>
      <c r="F5" s="42">
        <v>-59.9</v>
      </c>
      <c r="G5" s="42">
        <v>-57.2</v>
      </c>
      <c r="H5" s="42">
        <v>-56.5</v>
      </c>
      <c r="I5" s="42">
        <v>-57.9</v>
      </c>
      <c r="J5" s="42">
        <v>-62.9</v>
      </c>
      <c r="K5" s="42">
        <v>-53</v>
      </c>
      <c r="L5" s="42">
        <v>-52.8</v>
      </c>
      <c r="M5" s="42">
        <v>-55.8</v>
      </c>
      <c r="N5" s="42">
        <v>-54.4</v>
      </c>
      <c r="O5" s="42">
        <v>-33.700000000000003</v>
      </c>
      <c r="P5" s="42">
        <v>-35.1</v>
      </c>
      <c r="Q5" s="42">
        <v>-29.4</v>
      </c>
      <c r="R5" s="42">
        <v>-33</v>
      </c>
      <c r="S5" s="42">
        <v>-45.3</v>
      </c>
      <c r="T5" s="42">
        <v>-44.6</v>
      </c>
      <c r="U5" s="42">
        <v>-44.8</v>
      </c>
      <c r="V5" s="42">
        <v>-43.3</v>
      </c>
      <c r="W5" s="42">
        <v>-44.2</v>
      </c>
      <c r="X5" s="42">
        <v>-44.5</v>
      </c>
      <c r="Y5" s="42">
        <v>-40.6</v>
      </c>
      <c r="Z5" s="42">
        <v>-40.799999999999997</v>
      </c>
      <c r="AA5" s="42">
        <v>-36.5</v>
      </c>
      <c r="AB5" s="42">
        <v>-34.700000000000003</v>
      </c>
      <c r="AC5" s="42">
        <v>-37.9</v>
      </c>
      <c r="AD5" s="42">
        <v>-42</v>
      </c>
      <c r="AE5" s="42">
        <v>-43.7</v>
      </c>
      <c r="AF5" s="42">
        <v>-45.2</v>
      </c>
      <c r="AG5" s="42">
        <v>-41.1</v>
      </c>
      <c r="AH5" s="42">
        <v>-44.5</v>
      </c>
      <c r="AI5" s="42">
        <v>-35.9</v>
      </c>
      <c r="AJ5" s="42">
        <v>-35.1</v>
      </c>
      <c r="AK5" s="42">
        <v>-35.200000000000003</v>
      </c>
      <c r="AR5" s="42">
        <v>-37.4</v>
      </c>
      <c r="AS5" s="42">
        <v>-39.9</v>
      </c>
    </row>
    <row r="6" spans="1:45" ht="24" customHeight="1" x14ac:dyDescent="0.4">
      <c r="A6" s="62">
        <f>高阶对比表!B7</f>
        <v>0.15</v>
      </c>
      <c r="B6" s="59" t="s">
        <v>63</v>
      </c>
      <c r="C6" s="42">
        <v>-46.6</v>
      </c>
      <c r="D6" s="42">
        <v>-46.6</v>
      </c>
      <c r="E6" s="42">
        <v>-54.1</v>
      </c>
      <c r="F6" s="42">
        <v>-54.1</v>
      </c>
      <c r="G6" s="42">
        <v>-51.4</v>
      </c>
      <c r="H6" s="42">
        <v>-55.4</v>
      </c>
      <c r="I6" s="42">
        <v>-55.4</v>
      </c>
      <c r="J6" s="42">
        <v>-48.3</v>
      </c>
      <c r="K6" s="42">
        <v>-45.6</v>
      </c>
      <c r="L6" s="42">
        <v>-46.4</v>
      </c>
      <c r="M6" s="42">
        <v>-48.4</v>
      </c>
      <c r="N6" s="42">
        <v>-44.8</v>
      </c>
      <c r="O6" s="42">
        <v>-25.1</v>
      </c>
      <c r="P6" s="42">
        <v>-25.1</v>
      </c>
      <c r="Q6" s="42">
        <v>-27.5</v>
      </c>
      <c r="R6" s="42">
        <v>-27.5</v>
      </c>
      <c r="S6" s="42">
        <v>-36</v>
      </c>
      <c r="T6" s="42">
        <v>-36</v>
      </c>
      <c r="U6" s="42">
        <v>-36</v>
      </c>
      <c r="V6" s="42">
        <v>-35.1</v>
      </c>
      <c r="W6" s="42">
        <v>-36.299999999999997</v>
      </c>
      <c r="X6" s="42">
        <v>-36.299999999999997</v>
      </c>
      <c r="Y6" s="42">
        <v>-34.5</v>
      </c>
      <c r="Z6" s="42">
        <v>-34.5</v>
      </c>
      <c r="AA6" s="42">
        <v>-33</v>
      </c>
      <c r="AB6" s="42">
        <v>-29.9</v>
      </c>
      <c r="AC6" s="42">
        <v>-30.5</v>
      </c>
      <c r="AD6" s="42">
        <v>-39.4</v>
      </c>
      <c r="AE6" s="42">
        <v>-39.4</v>
      </c>
      <c r="AF6" s="42">
        <v>-40.1</v>
      </c>
      <c r="AG6" s="42">
        <v>-40.200000000000003</v>
      </c>
      <c r="AH6" s="42">
        <v>-40.200000000000003</v>
      </c>
      <c r="AI6" s="42">
        <v>-30.1</v>
      </c>
      <c r="AJ6" s="42">
        <v>-30.1</v>
      </c>
      <c r="AK6" s="42">
        <v>-28.1</v>
      </c>
      <c r="AR6" s="42">
        <v>-37.5</v>
      </c>
      <c r="AS6" s="42">
        <v>-37.5</v>
      </c>
    </row>
    <row r="7" spans="1:45" ht="24" customHeight="1" x14ac:dyDescent="0.4">
      <c r="A7" s="50">
        <f>高阶对比表!B8</f>
        <v>0.1</v>
      </c>
      <c r="B7" s="58" t="s">
        <v>17</v>
      </c>
      <c r="C7" s="42">
        <v>-39</v>
      </c>
      <c r="D7" s="42">
        <v>-42</v>
      </c>
      <c r="E7" s="42">
        <v>-54.3</v>
      </c>
      <c r="F7" s="42">
        <v>-55.2</v>
      </c>
      <c r="G7" s="42">
        <v>-53.1</v>
      </c>
      <c r="H7" s="42">
        <v>-53.5</v>
      </c>
      <c r="I7" s="42">
        <v>-55</v>
      </c>
      <c r="J7" s="42">
        <v>-55.8</v>
      </c>
      <c r="K7" s="42">
        <v>-48.4</v>
      </c>
      <c r="L7" s="42">
        <v>-48.1</v>
      </c>
      <c r="M7" s="42">
        <v>-51.3</v>
      </c>
      <c r="N7" s="42">
        <v>-42.1</v>
      </c>
      <c r="O7" s="42">
        <v>-22.3</v>
      </c>
      <c r="P7" s="42">
        <v>-23.3</v>
      </c>
      <c r="Q7" s="42">
        <v>-19.7</v>
      </c>
      <c r="R7" s="42">
        <v>-21.6</v>
      </c>
      <c r="S7" s="42">
        <v>-27.6</v>
      </c>
      <c r="T7" s="42">
        <v>-27.3</v>
      </c>
      <c r="U7" s="42">
        <v>-28.2</v>
      </c>
      <c r="V7" s="42">
        <v>-28.1</v>
      </c>
      <c r="W7" s="42">
        <v>-36.5</v>
      </c>
      <c r="X7" s="42">
        <v>-37.799999999999997</v>
      </c>
      <c r="Y7" s="42">
        <v>-28.1</v>
      </c>
      <c r="Z7" s="42">
        <v>-29.7</v>
      </c>
      <c r="AA7" s="42">
        <v>-27.4</v>
      </c>
      <c r="AB7" s="42">
        <v>-26.2</v>
      </c>
      <c r="AC7" s="42">
        <v>-25</v>
      </c>
      <c r="AD7" s="42">
        <v>-30.9</v>
      </c>
      <c r="AE7" s="42">
        <v>-33.4</v>
      </c>
      <c r="AF7" s="42">
        <v>-36.9</v>
      </c>
      <c r="AG7" s="42">
        <v>-32.6</v>
      </c>
      <c r="AH7" s="42">
        <v>-34.9</v>
      </c>
      <c r="AI7" s="42">
        <v>-26</v>
      </c>
      <c r="AJ7" s="42">
        <v>-26</v>
      </c>
      <c r="AK7" s="42">
        <v>-24.6</v>
      </c>
      <c r="AR7" s="42">
        <v>-28</v>
      </c>
      <c r="AS7" s="42">
        <v>-28.5</v>
      </c>
    </row>
    <row r="8" spans="1:45" ht="24" customHeight="1" x14ac:dyDescent="0.4">
      <c r="A8" s="50">
        <f>高阶对比表!B9</f>
        <v>0.08</v>
      </c>
      <c r="B8" s="58" t="s">
        <v>64</v>
      </c>
      <c r="C8" s="42">
        <v>-34.9</v>
      </c>
      <c r="D8" s="42">
        <v>-36.700000000000003</v>
      </c>
      <c r="E8" s="42">
        <v>-44.3</v>
      </c>
      <c r="F8" s="42">
        <v>-45.1</v>
      </c>
      <c r="G8" s="42">
        <v>-43.4</v>
      </c>
      <c r="H8" s="42">
        <v>-43.5</v>
      </c>
      <c r="I8" s="42">
        <v>-44.5</v>
      </c>
      <c r="J8" s="42">
        <v>-41.7</v>
      </c>
      <c r="K8" s="42">
        <v>-33.700000000000003</v>
      </c>
      <c r="L8" s="42">
        <v>-35.4</v>
      </c>
      <c r="M8" s="42">
        <v>-35.700000000000003</v>
      </c>
      <c r="N8" s="42">
        <v>-35.4</v>
      </c>
      <c r="O8" s="42">
        <v>-13.6</v>
      </c>
      <c r="P8" s="42">
        <v>-14.8</v>
      </c>
      <c r="Q8" s="42">
        <v>-14.6</v>
      </c>
      <c r="R8" s="42">
        <v>-16.600000000000001</v>
      </c>
      <c r="S8" s="42">
        <v>-26</v>
      </c>
      <c r="T8" s="42">
        <v>-25.7</v>
      </c>
      <c r="U8" s="42">
        <v>-27.1</v>
      </c>
      <c r="V8" s="42">
        <v>-26</v>
      </c>
      <c r="W8" s="42">
        <v>-25.3</v>
      </c>
      <c r="X8" s="42">
        <v>-26</v>
      </c>
      <c r="Y8" s="42">
        <v>-23.1</v>
      </c>
      <c r="Z8" s="42">
        <v>-23.4</v>
      </c>
      <c r="AA8" s="42">
        <v>-19.899999999999999</v>
      </c>
      <c r="AB8" s="42">
        <v>-15.6</v>
      </c>
      <c r="AC8" s="42">
        <v>-18.8</v>
      </c>
      <c r="AD8" s="42">
        <v>-27.5</v>
      </c>
      <c r="AE8" s="42">
        <v>-29.4</v>
      </c>
      <c r="AF8" s="42">
        <v>-29.2</v>
      </c>
      <c r="AG8" s="42">
        <v>-25.4</v>
      </c>
      <c r="AH8" s="42">
        <v>-27.9</v>
      </c>
      <c r="AI8" s="42">
        <v>-13.3</v>
      </c>
      <c r="AJ8" s="42">
        <v>-14.7</v>
      </c>
      <c r="AK8" s="42">
        <v>-19.600000000000001</v>
      </c>
      <c r="AR8" s="42">
        <v>-22.3</v>
      </c>
      <c r="AS8" s="42">
        <v>-24</v>
      </c>
    </row>
    <row r="9" spans="1:45" ht="24" customHeight="1" x14ac:dyDescent="0.4">
      <c r="A9" s="62">
        <f>高阶对比表!B10</f>
        <v>0.05</v>
      </c>
      <c r="B9" s="59" t="s">
        <v>31</v>
      </c>
      <c r="C9" s="42">
        <v>-6.3</v>
      </c>
      <c r="D9" s="42">
        <v>-6.3</v>
      </c>
      <c r="E9" s="42">
        <v>-16.600000000000001</v>
      </c>
      <c r="F9" s="42">
        <v>-16.600000000000001</v>
      </c>
      <c r="G9" s="42">
        <v>-25.1</v>
      </c>
      <c r="H9" s="42">
        <v>-9.5</v>
      </c>
      <c r="I9" s="42">
        <v>-9.5</v>
      </c>
      <c r="J9" s="42">
        <v>-14.2</v>
      </c>
      <c r="K9" s="42">
        <v>2.4</v>
      </c>
      <c r="L9" s="42">
        <v>3</v>
      </c>
      <c r="M9" s="42">
        <v>-4.7</v>
      </c>
      <c r="N9" s="42">
        <v>-8.6999999999999993</v>
      </c>
      <c r="O9" s="42">
        <v>5.3</v>
      </c>
      <c r="P9" s="42">
        <v>5.3</v>
      </c>
      <c r="Q9" s="42">
        <v>4.2</v>
      </c>
      <c r="R9" s="42">
        <v>4.2</v>
      </c>
      <c r="S9" s="42">
        <v>-3.3</v>
      </c>
      <c r="T9" s="42">
        <v>-3.3</v>
      </c>
      <c r="U9" s="42">
        <v>-3.3</v>
      </c>
      <c r="V9" s="42">
        <v>-4.5999999999999996</v>
      </c>
      <c r="W9" s="42">
        <v>-0.7</v>
      </c>
      <c r="X9" s="42">
        <v>-0.7</v>
      </c>
      <c r="Y9" s="42">
        <v>-0.7</v>
      </c>
      <c r="Z9" s="42">
        <v>-0.7</v>
      </c>
      <c r="AA9" s="42">
        <v>-0.4</v>
      </c>
      <c r="AB9" s="42">
        <v>2.2999999999999998</v>
      </c>
      <c r="AC9" s="42">
        <v>5</v>
      </c>
      <c r="AD9" s="42">
        <v>-12</v>
      </c>
      <c r="AE9" s="42">
        <v>-12</v>
      </c>
      <c r="AF9" s="42">
        <v>-4.5</v>
      </c>
      <c r="AG9" s="42">
        <v>-5.7</v>
      </c>
      <c r="AH9" s="42">
        <v>-5.7</v>
      </c>
      <c r="AI9" s="42">
        <v>5</v>
      </c>
      <c r="AJ9" s="42">
        <v>5</v>
      </c>
      <c r="AK9" s="42">
        <v>-0.4</v>
      </c>
      <c r="AR9" s="42">
        <v>-1</v>
      </c>
      <c r="AS9" s="42">
        <v>-1</v>
      </c>
    </row>
    <row r="10" spans="1:45" ht="24" customHeight="1" x14ac:dyDescent="0.4">
      <c r="A10" s="62">
        <f>高阶对比表!B11</f>
        <v>0.05</v>
      </c>
      <c r="B10" s="58" t="s">
        <v>65</v>
      </c>
      <c r="C10" s="42">
        <v>-61.1</v>
      </c>
      <c r="D10" s="42">
        <v>-61.1</v>
      </c>
      <c r="E10" s="42">
        <v>-67.7</v>
      </c>
      <c r="F10" s="42">
        <v>-67.7</v>
      </c>
      <c r="G10" s="42">
        <v>-61</v>
      </c>
      <c r="H10" s="42">
        <v>-67.8</v>
      </c>
      <c r="I10" s="42">
        <v>-67.8</v>
      </c>
      <c r="J10" s="42">
        <v>-67.5</v>
      </c>
      <c r="K10" s="42">
        <v>-64.400000000000006</v>
      </c>
      <c r="L10" s="42">
        <v>-61.1</v>
      </c>
      <c r="M10" s="42">
        <v>-60</v>
      </c>
      <c r="N10" s="42">
        <v>-59</v>
      </c>
      <c r="O10" s="42">
        <v>-43.5</v>
      </c>
      <c r="P10" s="42">
        <v>-43.5</v>
      </c>
      <c r="Q10" s="42">
        <v>-41.4</v>
      </c>
      <c r="R10" s="42">
        <v>-41.4</v>
      </c>
      <c r="S10" s="42">
        <v>-50.2</v>
      </c>
      <c r="T10" s="42">
        <v>-50.2</v>
      </c>
      <c r="U10" s="42">
        <v>-50.2</v>
      </c>
      <c r="V10" s="42">
        <v>-52.3</v>
      </c>
      <c r="W10" s="42">
        <v>-51.5</v>
      </c>
      <c r="X10" s="42">
        <v>-51.5</v>
      </c>
      <c r="Y10" s="42">
        <v>-49.6</v>
      </c>
      <c r="Z10" s="42">
        <v>-49.6</v>
      </c>
      <c r="AA10" s="42">
        <v>-54.4</v>
      </c>
      <c r="AB10" s="42">
        <v>-49.7</v>
      </c>
      <c r="AC10" s="42">
        <v>-43.9</v>
      </c>
      <c r="AD10" s="42">
        <v>-49.6</v>
      </c>
      <c r="AE10" s="42">
        <v>-49.6</v>
      </c>
      <c r="AF10" s="42">
        <v>-50.4</v>
      </c>
      <c r="AG10" s="42">
        <v>-54</v>
      </c>
      <c r="AH10" s="42">
        <v>-54</v>
      </c>
      <c r="AI10" s="42">
        <v>-51.6</v>
      </c>
      <c r="AJ10" s="42">
        <v>-51.6</v>
      </c>
      <c r="AK10" s="42">
        <v>-44.5</v>
      </c>
      <c r="AR10" s="42">
        <v>-48.5</v>
      </c>
      <c r="AS10" s="42">
        <v>-48.5</v>
      </c>
    </row>
    <row r="11" spans="1:45" ht="24" customHeight="1" x14ac:dyDescent="0.4">
      <c r="A11" s="50">
        <f>高阶对比表!B12</f>
        <v>0.02</v>
      </c>
      <c r="B11" s="58" t="s">
        <v>7</v>
      </c>
      <c r="C11" s="42">
        <v>-9.9</v>
      </c>
      <c r="D11" s="42">
        <v>-11.1</v>
      </c>
      <c r="E11" s="42">
        <v>-14.9</v>
      </c>
      <c r="F11" s="42">
        <v>-16.399999999999999</v>
      </c>
      <c r="G11" s="42">
        <v>-14</v>
      </c>
      <c r="H11" s="42">
        <v>-14</v>
      </c>
      <c r="I11" s="42">
        <v>-15.3</v>
      </c>
      <c r="J11" s="42">
        <v>-28.7</v>
      </c>
      <c r="K11" s="42">
        <v>-12</v>
      </c>
      <c r="L11" s="42">
        <v>-10.9</v>
      </c>
      <c r="M11" s="42">
        <v>-11</v>
      </c>
      <c r="N11" s="42">
        <v>-10</v>
      </c>
      <c r="O11" s="42">
        <v>4.9000000000000004</v>
      </c>
      <c r="P11" s="42">
        <v>4.3</v>
      </c>
      <c r="Q11" s="42">
        <v>5.2</v>
      </c>
      <c r="R11" s="42">
        <v>3.8</v>
      </c>
      <c r="S11" s="42">
        <v>-3.7</v>
      </c>
      <c r="T11" s="42">
        <v>-3.7</v>
      </c>
      <c r="U11" s="42">
        <v>-4.9000000000000004</v>
      </c>
      <c r="V11" s="42">
        <v>-3.5</v>
      </c>
      <c r="W11" s="42">
        <v>-3.2</v>
      </c>
      <c r="X11" s="42">
        <v>-4</v>
      </c>
      <c r="Y11" s="42">
        <v>-3.8</v>
      </c>
      <c r="Z11" s="42">
        <v>-4.3</v>
      </c>
      <c r="AA11" s="42">
        <v>0.4</v>
      </c>
      <c r="AB11" s="42">
        <v>1.4</v>
      </c>
      <c r="AC11" s="42">
        <v>0.2</v>
      </c>
      <c r="AD11" s="42">
        <v>-1.9</v>
      </c>
      <c r="AE11" s="42">
        <v>-3.5</v>
      </c>
      <c r="AF11" s="42">
        <v>-6.5</v>
      </c>
      <c r="AG11" s="42">
        <v>-0.7</v>
      </c>
      <c r="AH11" s="42">
        <v>-2.6</v>
      </c>
      <c r="AI11" s="42">
        <v>3.9</v>
      </c>
      <c r="AJ11" s="42">
        <v>2.7</v>
      </c>
      <c r="AK11" s="42">
        <v>1.3</v>
      </c>
      <c r="AR11" s="42">
        <v>-0.2</v>
      </c>
      <c r="AS11" s="42">
        <v>-1.6</v>
      </c>
    </row>
  </sheetData>
  <mergeCells count="14">
    <mergeCell ref="Y2:Z2"/>
    <mergeCell ref="AR2:AS2"/>
    <mergeCell ref="H2:I2"/>
    <mergeCell ref="A1:A3"/>
    <mergeCell ref="B2:B3"/>
    <mergeCell ref="C2:D2"/>
    <mergeCell ref="S2:U2"/>
    <mergeCell ref="E2:G2"/>
    <mergeCell ref="AD2:AE2"/>
    <mergeCell ref="AG2:AH2"/>
    <mergeCell ref="W2:X2"/>
    <mergeCell ref="Q2:R2"/>
    <mergeCell ref="O2:P2"/>
    <mergeCell ref="AI2:AJ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高阶对比表</vt:lpstr>
      <vt:lpstr>站点关联数据记录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2026-09-08T04:25:17Z</dcterms:modified>
</cp:coreProperties>
</file>