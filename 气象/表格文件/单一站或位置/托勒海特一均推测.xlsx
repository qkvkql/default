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档\GIT SYNC\default\气象\表格文件\"/>
    </mc:Choice>
  </mc:AlternateContent>
  <xr:revisionPtr revIDLastSave="0" documentId="8_{9CB325CE-9EEA-4CF6-B2F0-F6DC85798640}" xr6:coauthVersionLast="47" xr6:coauthVersionMax="47" xr10:uidLastSave="{00000000-0000-0000-0000-000000000000}"/>
  <bookViews>
    <workbookView xWindow="-98" yWindow="-98" windowWidth="21795" windowHeight="12975" xr2:uid="{2791D063-95A2-4AAD-9CC7-ECBE6D98CAF9}"/>
  </bookViews>
  <sheets>
    <sheet name="多地对比" sheetId="4" r:id="rId1"/>
    <sheet name="禾木筛选" sheetId="3" r:id="rId2"/>
    <sheet name="禾木原始" sheetId="2" r:id="rId3"/>
  </sheets>
  <definedNames>
    <definedName name="_xlnm._FilterDatabase" localSheetId="1" hidden="1">禾木筛选!$A$1:$D$32</definedName>
    <definedName name="_xlnm._FilterDatabase" localSheetId="2" hidden="1">禾木原始!$A$1:$K$195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4" l="1"/>
  <c r="C33" i="3"/>
  <c r="B6" i="3"/>
  <c r="B12" i="3"/>
  <c r="B25" i="3"/>
  <c r="D33" i="3"/>
  <c r="I33" i="3"/>
  <c r="H33" i="3"/>
  <c r="I18" i="3"/>
  <c r="I19" i="3"/>
  <c r="I20" i="3"/>
  <c r="I17" i="3"/>
  <c r="H18" i="3"/>
  <c r="H19" i="3"/>
  <c r="H20" i="3"/>
  <c r="H17" i="3"/>
  <c r="B33" i="3" l="1"/>
</calcChain>
</file>

<file path=xl/sharedStrings.xml><?xml version="1.0" encoding="utf-8"?>
<sst xmlns="http://schemas.openxmlformats.org/spreadsheetml/2006/main" count="870" uniqueCount="40">
  <si>
    <t>日期</t>
  </si>
  <si>
    <t>日降水量</t>
  </si>
  <si>
    <t>累计曲线</t>
  </si>
  <si>
    <t>9120气候值(降水)</t>
  </si>
  <si>
    <t>平均气温</t>
  </si>
  <si>
    <t>最高气温</t>
  </si>
  <si>
    <t>最低气温</t>
  </si>
  <si>
    <t>5日滑动均温</t>
  </si>
  <si>
    <t>9120气候值(均温)</t>
  </si>
  <si>
    <t>9120气候值(高温)</t>
  </si>
  <si>
    <t>9120气候值(低温)</t>
  </si>
  <si>
    <t>-</t>
  </si>
  <si>
    <t>禾21</t>
    <phoneticPr fontId="1" type="noConversion"/>
  </si>
  <si>
    <t>禾20</t>
    <phoneticPr fontId="1" type="noConversion"/>
  </si>
  <si>
    <t>禾Suomi</t>
    <phoneticPr fontId="1" type="noConversion"/>
  </si>
  <si>
    <t>禾min</t>
    <phoneticPr fontId="1" type="noConversion"/>
  </si>
  <si>
    <t>托min</t>
    <phoneticPr fontId="1" type="noConversion"/>
  </si>
  <si>
    <t>托21</t>
    <phoneticPr fontId="1" type="noConversion"/>
  </si>
  <si>
    <t>托20</t>
    <phoneticPr fontId="1" type="noConversion"/>
  </si>
  <si>
    <t>托Suomi</t>
    <phoneticPr fontId="1" type="noConversion"/>
  </si>
  <si>
    <t>托</t>
    <phoneticPr fontId="1" type="noConversion"/>
  </si>
  <si>
    <t>禾</t>
    <phoneticPr fontId="1" type="noConversion"/>
  </si>
  <si>
    <t>2026一月平均气温(℃)</t>
    <phoneticPr fontId="1" type="noConversion"/>
  </si>
  <si>
    <t>2026一月16,17,18,19四天平均气温(℃)</t>
    <phoneticPr fontId="1" type="noConversion"/>
  </si>
  <si>
    <t>2026一月3,23,30,31四天平均气温(℃)</t>
    <phoneticPr fontId="1" type="noConversion"/>
  </si>
  <si>
    <t>2026一月16,17,18,19四天平均红外地温(℃)</t>
    <phoneticPr fontId="1" type="noConversion"/>
  </si>
  <si>
    <t>2026一月3,23,30,31四天平均红外地温(℃)</t>
    <phoneticPr fontId="1" type="noConversion"/>
  </si>
  <si>
    <t>禾木村</t>
    <phoneticPr fontId="1" type="noConversion"/>
  </si>
  <si>
    <t>&gt;10</t>
    <phoneticPr fontId="1" type="noConversion"/>
  </si>
  <si>
    <t>2026一月3,23,30,31四天平均低温(℃)</t>
    <phoneticPr fontId="1" type="noConversion"/>
  </si>
  <si>
    <t>2026一月平均低温(℃)</t>
    <phoneticPr fontId="1" type="noConversion"/>
  </si>
  <si>
    <t>2026一月16,17,18,19四天平均低温(℃)</t>
    <phoneticPr fontId="1" type="noConversion"/>
  </si>
  <si>
    <t>托勒海特
低温中心</t>
    <phoneticPr fontId="1" type="noConversion"/>
  </si>
  <si>
    <t>阿勒泰
雪都机场</t>
    <phoneticPr fontId="1" type="noConversion"/>
  </si>
  <si>
    <t>常年(1991-2020)一月平均气温(℃)</t>
    <phoneticPr fontId="1" type="noConversion"/>
  </si>
  <si>
    <r>
      <rPr>
        <b/>
        <sz val="16"/>
        <color theme="1"/>
        <rFont val="等线"/>
        <family val="3"/>
        <charset val="134"/>
        <scheme val="minor"/>
      </rPr>
      <t>托勒海特常年(四点法)一月平均气温推测</t>
    </r>
    <r>
      <rPr>
        <b/>
        <sz val="11"/>
        <color theme="1"/>
        <rFont val="等线"/>
        <family val="3"/>
        <charset val="134"/>
        <scheme val="minor"/>
      </rPr>
      <t xml:space="preserve">
红外地温 = NASA卫星最低夜间红外地温(℃).
托勒海特: (48.3958, 87.5939), 1644m.    禾木村1223m
</t>
    </r>
    <r>
      <rPr>
        <b/>
        <sz val="11"/>
        <color rgb="FFFF0000"/>
        <rFont val="等线"/>
        <family val="3"/>
        <charset val="134"/>
        <scheme val="minor"/>
      </rPr>
      <t>红色为推测</t>
    </r>
    <phoneticPr fontId="1" type="noConversion"/>
  </si>
  <si>
    <t>B2 + B4  →  C2
E6 + E9 + C10 + 托勒海特平均昼夜温差小于禾木 + 禾木和托勒海特两地红外地温差值线性变化 →  E2
E2 + C2  →  D2</t>
    <phoneticPr fontId="1" type="noConversion"/>
  </si>
  <si>
    <t>&gt;10.4</t>
    <phoneticPr fontId="1" type="noConversion"/>
  </si>
  <si>
    <t>&lt;-30.0</t>
    <phoneticPr fontId="1" type="noConversion"/>
  </si>
  <si>
    <t>禾木村 和
托勒海特
差值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</si>
</sst>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_ "/>
  </numFmts>
  <fonts count="1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FF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20"/>
      <color theme="1"/>
      <name val="等线"/>
      <family val="3"/>
      <charset val="134"/>
      <scheme val="minor"/>
    </font>
    <font>
      <b/>
      <sz val="28"/>
      <color theme="1"/>
      <name val="等线"/>
      <family val="3"/>
      <charset val="134"/>
      <scheme val="minor"/>
    </font>
    <font>
      <b/>
      <sz val="28"/>
      <color rgb="FFFF0000"/>
      <name val="等线"/>
      <family val="3"/>
      <charset val="134"/>
      <scheme val="minor"/>
    </font>
    <font>
      <b/>
      <sz val="28"/>
      <color theme="1" tint="0.499984740745262"/>
      <name val="等线"/>
      <family val="3"/>
      <charset val="134"/>
      <scheme val="minor"/>
    </font>
    <font>
      <b/>
      <sz val="16"/>
      <color rgb="FF00B050"/>
      <name val="等线"/>
      <family val="3"/>
      <charset val="134"/>
      <scheme val="minor"/>
    </font>
    <font>
      <b/>
      <sz val="16"/>
      <color rgb="FF0070C0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58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Font="1">
      <alignment vertical="center"/>
    </xf>
    <xf numFmtId="58" fontId="2" fillId="0" borderId="0" xfId="0" applyNumberFormat="1" applyFont="1">
      <alignment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>
      <alignment vertical="center"/>
    </xf>
    <xf numFmtId="176" fontId="7" fillId="0" borderId="1" xfId="0" applyNumberFormat="1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1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 indent="4"/>
    </xf>
    <xf numFmtId="0" fontId="12" fillId="0" borderId="1" xfId="0" applyFont="1" applyBorder="1" applyAlignment="1">
      <alignment horizontal="left" vertical="center" indent="4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41C56-AD81-48A4-97CF-D7AC582CB671}">
  <dimension ref="A1:E11"/>
  <sheetViews>
    <sheetView tabSelected="1" workbookViewId="0"/>
  </sheetViews>
  <sheetFormatPr defaultRowHeight="13.9" x14ac:dyDescent="0.4"/>
  <cols>
    <col min="1" max="1" width="56.59765625" style="1" customWidth="1"/>
    <col min="2" max="5" width="20.59765625" style="1" customWidth="1"/>
    <col min="6" max="16384" width="9.06640625" style="1"/>
  </cols>
  <sheetData>
    <row r="1" spans="1:5" ht="72" customHeight="1" x14ac:dyDescent="0.4">
      <c r="A1" s="8" t="s">
        <v>35</v>
      </c>
      <c r="B1" s="14" t="s">
        <v>33</v>
      </c>
      <c r="C1" s="13" t="s">
        <v>27</v>
      </c>
      <c r="D1" s="14" t="s">
        <v>32</v>
      </c>
      <c r="E1" s="14" t="s">
        <v>39</v>
      </c>
    </row>
    <row r="2" spans="1:5" ht="30" customHeight="1" x14ac:dyDescent="0.4">
      <c r="A2" s="9" t="s">
        <v>34</v>
      </c>
      <c r="B2" s="10">
        <v>-15.8</v>
      </c>
      <c r="C2" s="11">
        <v>-19.600000000000001</v>
      </c>
      <c r="D2" s="11" t="s">
        <v>38</v>
      </c>
      <c r="E2" s="19" t="s">
        <v>37</v>
      </c>
    </row>
    <row r="3" spans="1:5" ht="30" customHeight="1" x14ac:dyDescent="0.4">
      <c r="A3" s="17" t="s">
        <v>30</v>
      </c>
      <c r="B3" s="12"/>
      <c r="C3" s="10">
        <v>-25</v>
      </c>
      <c r="D3" s="10"/>
      <c r="E3" s="15"/>
    </row>
    <row r="4" spans="1:5" ht="30" customHeight="1" x14ac:dyDescent="0.4">
      <c r="A4" s="17" t="s">
        <v>22</v>
      </c>
      <c r="B4" s="10">
        <v>-15.6</v>
      </c>
      <c r="C4" s="10">
        <v>-19.399999999999999</v>
      </c>
      <c r="D4" s="10"/>
      <c r="E4" s="15"/>
    </row>
    <row r="5" spans="1:5" ht="30" customHeight="1" x14ac:dyDescent="0.4">
      <c r="A5" s="18" t="s">
        <v>31</v>
      </c>
      <c r="B5" s="10"/>
      <c r="C5" s="10">
        <v>-40.700000000000003</v>
      </c>
      <c r="D5" s="10"/>
      <c r="E5" s="15"/>
    </row>
    <row r="6" spans="1:5" ht="30" customHeight="1" x14ac:dyDescent="0.4">
      <c r="A6" s="18" t="s">
        <v>25</v>
      </c>
      <c r="B6" s="10"/>
      <c r="C6" s="10">
        <v>-40.6</v>
      </c>
      <c r="D6" s="10">
        <v>-55.8</v>
      </c>
      <c r="E6" s="16">
        <f>C6-D6</f>
        <v>15.199999999999996</v>
      </c>
    </row>
    <row r="7" spans="1:5" ht="30" customHeight="1" x14ac:dyDescent="0.4">
      <c r="A7" s="18" t="s">
        <v>23</v>
      </c>
      <c r="B7" s="10"/>
      <c r="C7" s="10">
        <v>-34.6</v>
      </c>
      <c r="D7" s="10"/>
      <c r="E7" s="15"/>
    </row>
    <row r="8" spans="1:5" ht="30" customHeight="1" x14ac:dyDescent="0.4">
      <c r="A8" s="17" t="s">
        <v>29</v>
      </c>
      <c r="B8" s="10"/>
      <c r="C8" s="10">
        <v>-24.8</v>
      </c>
      <c r="D8" s="10"/>
      <c r="E8" s="15"/>
    </row>
    <row r="9" spans="1:5" ht="30" customHeight="1" x14ac:dyDescent="0.4">
      <c r="A9" s="17" t="s">
        <v>26</v>
      </c>
      <c r="B9" s="10"/>
      <c r="C9" s="10"/>
      <c r="D9" s="10"/>
      <c r="E9" s="15" t="s">
        <v>28</v>
      </c>
    </row>
    <row r="10" spans="1:5" ht="30" customHeight="1" x14ac:dyDescent="0.4">
      <c r="A10" s="17" t="s">
        <v>24</v>
      </c>
      <c r="B10" s="10"/>
      <c r="C10" s="10">
        <v>-18.2</v>
      </c>
      <c r="D10" s="10"/>
      <c r="E10" s="15"/>
    </row>
    <row r="11" spans="1:5" ht="60" customHeight="1" x14ac:dyDescent="0.4">
      <c r="A11" s="20" t="s">
        <v>36</v>
      </c>
      <c r="B11" s="21"/>
      <c r="C11" s="21"/>
      <c r="D11" s="21"/>
      <c r="E11" s="21"/>
    </row>
  </sheetData>
  <mergeCells count="1">
    <mergeCell ref="A11:E1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04C8A-7C1B-4047-AE79-6DC85E5ACD18}">
  <dimension ref="A1:S34"/>
  <sheetViews>
    <sheetView workbookViewId="0"/>
  </sheetViews>
  <sheetFormatPr defaultRowHeight="13.9" x14ac:dyDescent="0.4"/>
  <cols>
    <col min="1" max="4" width="9.06640625" style="1"/>
    <col min="5" max="10" width="8.59765625" customWidth="1"/>
  </cols>
  <sheetData>
    <row r="1" spans="1:19" ht="24" customHeight="1" x14ac:dyDescent="0.4">
      <c r="A1" s="1" t="s">
        <v>0</v>
      </c>
      <c r="B1" s="1" t="s">
        <v>4</v>
      </c>
      <c r="C1" s="1" t="s">
        <v>5</v>
      </c>
      <c r="D1" s="1" t="s">
        <v>6</v>
      </c>
      <c r="E1" s="5" t="s">
        <v>12</v>
      </c>
      <c r="F1" s="5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N1" t="s">
        <v>21</v>
      </c>
      <c r="O1">
        <v>48.584200000000003</v>
      </c>
      <c r="P1">
        <v>87.457800000000006</v>
      </c>
      <c r="Q1" s="4" t="s">
        <v>20</v>
      </c>
      <c r="R1">
        <v>48.395800000000001</v>
      </c>
      <c r="S1">
        <v>87.593900000000005</v>
      </c>
    </row>
    <row r="2" spans="1:19" x14ac:dyDescent="0.4">
      <c r="A2" s="7">
        <v>46023</v>
      </c>
      <c r="B2" s="1">
        <v>-18.600000000000001</v>
      </c>
      <c r="C2" s="1">
        <v>-7.7</v>
      </c>
      <c r="D2" s="1">
        <v>-22.8</v>
      </c>
      <c r="E2" s="1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9" x14ac:dyDescent="0.4">
      <c r="A3" s="7">
        <v>46024</v>
      </c>
      <c r="B3" s="1">
        <v>-17.2</v>
      </c>
      <c r="C3" s="1">
        <v>-8.5</v>
      </c>
      <c r="D3" s="1">
        <v>-19.8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x14ac:dyDescent="0.4">
      <c r="A4" s="7">
        <v>46025</v>
      </c>
      <c r="B4" s="1">
        <v>-19</v>
      </c>
      <c r="C4" s="1">
        <v>-9.8000000000000007</v>
      </c>
      <c r="D4" s="1">
        <v>-24.6</v>
      </c>
      <c r="E4" s="1">
        <v>-23</v>
      </c>
      <c r="F4" s="6"/>
      <c r="G4" s="6"/>
      <c r="H4" s="6"/>
      <c r="I4" s="6"/>
      <c r="J4" s="6">
        <v>-33.6</v>
      </c>
      <c r="K4" s="6"/>
      <c r="L4" s="6"/>
      <c r="M4" s="6"/>
      <c r="N4" s="6"/>
      <c r="O4" s="6"/>
      <c r="P4" s="6"/>
      <c r="Q4" s="6"/>
      <c r="R4" s="6"/>
      <c r="S4" s="6"/>
    </row>
    <row r="5" spans="1:19" x14ac:dyDescent="0.4">
      <c r="A5" s="7">
        <v>46026</v>
      </c>
      <c r="B5" s="1">
        <v>-10.6</v>
      </c>
      <c r="C5" s="1">
        <v>-6.2</v>
      </c>
      <c r="D5" s="1">
        <v>-16.399999999999999</v>
      </c>
      <c r="E5" s="1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19" x14ac:dyDescent="0.4">
      <c r="A6" s="7">
        <v>46027</v>
      </c>
      <c r="B6" s="2">
        <f>AVERAGE(C6:D6)</f>
        <v>-18.2</v>
      </c>
      <c r="C6" s="1">
        <v>-11.1</v>
      </c>
      <c r="D6" s="1">
        <v>-25.3</v>
      </c>
      <c r="E6" s="1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1:19" x14ac:dyDescent="0.4">
      <c r="A7" s="7">
        <v>46028</v>
      </c>
      <c r="B7" s="1">
        <v>-17.7</v>
      </c>
      <c r="C7" s="1">
        <v>-9.3000000000000007</v>
      </c>
      <c r="D7" s="1">
        <v>-22.8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1:19" x14ac:dyDescent="0.4">
      <c r="A8" s="7">
        <v>46029</v>
      </c>
      <c r="B8" s="1">
        <v>-9.9</v>
      </c>
      <c r="C8" s="1">
        <v>-6.2</v>
      </c>
      <c r="D8" s="1">
        <v>-14.6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 spans="1:19" x14ac:dyDescent="0.4">
      <c r="A9" s="7">
        <v>46030</v>
      </c>
      <c r="B9" s="1">
        <v>-11</v>
      </c>
      <c r="C9" s="1">
        <v>-5.9</v>
      </c>
      <c r="D9" s="1">
        <v>-18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 spans="1:19" x14ac:dyDescent="0.4">
      <c r="A10" s="7">
        <v>46031</v>
      </c>
      <c r="B10" s="1">
        <v>-26.1</v>
      </c>
      <c r="C10" s="1">
        <v>-15.9</v>
      </c>
      <c r="D10" s="1">
        <v>-32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spans="1:19" x14ac:dyDescent="0.4">
      <c r="A11" s="7">
        <v>46032</v>
      </c>
      <c r="B11" s="1">
        <v>-24.7</v>
      </c>
      <c r="C11" s="1">
        <v>-13.5</v>
      </c>
      <c r="D11" s="1">
        <v>-29.9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spans="1:19" x14ac:dyDescent="0.4">
      <c r="A12" s="7">
        <v>46033</v>
      </c>
      <c r="B12" s="2">
        <f>AVERAGE(C12:D12)</f>
        <v>-19.5</v>
      </c>
      <c r="C12" s="1">
        <v>-12.2</v>
      </c>
      <c r="D12" s="1">
        <v>-26.8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pans="1:19" x14ac:dyDescent="0.4">
      <c r="A13" s="7">
        <v>46034</v>
      </c>
      <c r="B13" s="1">
        <v>-13.4</v>
      </c>
      <c r="C13" s="1">
        <v>-7.3</v>
      </c>
      <c r="D13" s="1">
        <v>-21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pans="1:19" x14ac:dyDescent="0.4">
      <c r="A14" s="7">
        <v>46035</v>
      </c>
      <c r="B14" s="1">
        <v>-7.4</v>
      </c>
      <c r="C14" s="1">
        <v>-1.4</v>
      </c>
      <c r="D14" s="1">
        <v>-10.3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pans="1:19" x14ac:dyDescent="0.4">
      <c r="A15" s="7">
        <v>46036</v>
      </c>
      <c r="B15" s="1">
        <v>-18.7</v>
      </c>
      <c r="C15" s="1">
        <v>-10</v>
      </c>
      <c r="D15" s="1">
        <v>-23.7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pans="1:19" x14ac:dyDescent="0.4">
      <c r="A16" s="7">
        <v>46037</v>
      </c>
      <c r="B16" s="1">
        <v>-29.5</v>
      </c>
      <c r="C16" s="1">
        <v>-17.7</v>
      </c>
      <c r="D16" s="1">
        <v>-35.9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pans="1:19" x14ac:dyDescent="0.4">
      <c r="A17" s="7">
        <v>46038</v>
      </c>
      <c r="B17" s="1">
        <v>-32.700000000000003</v>
      </c>
      <c r="C17" s="1">
        <v>-21.4</v>
      </c>
      <c r="D17" s="1">
        <v>-38.200000000000003</v>
      </c>
      <c r="E17" s="2">
        <v>-37.4</v>
      </c>
      <c r="F17" s="1">
        <v>-36.200000000000003</v>
      </c>
      <c r="G17" s="1">
        <v>-37.4</v>
      </c>
      <c r="H17" s="6">
        <f>MIN(E17:G17)</f>
        <v>-37.4</v>
      </c>
      <c r="I17" s="6">
        <f>MIN(J17:L17)</f>
        <v>-52.5</v>
      </c>
      <c r="J17" s="6">
        <v>-52.5</v>
      </c>
      <c r="K17" s="6">
        <v>-52.5</v>
      </c>
      <c r="L17" s="6">
        <v>-52.5</v>
      </c>
      <c r="M17" s="6"/>
      <c r="N17" s="6"/>
      <c r="O17" s="6"/>
      <c r="P17" s="6"/>
      <c r="Q17" s="6"/>
      <c r="R17" s="6"/>
      <c r="S17" s="6"/>
    </row>
    <row r="18" spans="1:19" x14ac:dyDescent="0.4">
      <c r="A18" s="7">
        <v>46039</v>
      </c>
      <c r="B18" s="1">
        <v>-34.799999999999997</v>
      </c>
      <c r="C18" s="1">
        <v>-22.2</v>
      </c>
      <c r="D18" s="1">
        <v>-41.1</v>
      </c>
      <c r="E18" s="1">
        <v>-42.4</v>
      </c>
      <c r="F18" s="1">
        <v>-41.2</v>
      </c>
      <c r="G18" s="1">
        <v>-40.5</v>
      </c>
      <c r="H18" s="6">
        <f t="shared" ref="H18:H20" si="0">MIN(E18:G18)</f>
        <v>-42.4</v>
      </c>
      <c r="I18" s="6">
        <f t="shared" ref="I18:I20" si="1">MIN(J18:L18)</f>
        <v>-57.5</v>
      </c>
      <c r="J18" s="1">
        <v>-57.5</v>
      </c>
      <c r="K18" s="1">
        <v>-57.5</v>
      </c>
      <c r="L18" s="1">
        <v>-56.9</v>
      </c>
      <c r="M18" s="6"/>
      <c r="N18" s="6"/>
      <c r="O18" s="6"/>
      <c r="P18" s="6"/>
      <c r="Q18" s="6"/>
      <c r="R18" s="6"/>
      <c r="S18" s="6"/>
    </row>
    <row r="19" spans="1:19" x14ac:dyDescent="0.4">
      <c r="A19" s="7">
        <v>46040</v>
      </c>
      <c r="B19" s="1">
        <v>-35.299999999999997</v>
      </c>
      <c r="C19" s="1">
        <v>-22.6</v>
      </c>
      <c r="D19" s="1">
        <v>-41.6</v>
      </c>
      <c r="E19" s="1">
        <v>-41.2</v>
      </c>
      <c r="F19" s="1">
        <v>-41.2</v>
      </c>
      <c r="G19" s="1">
        <v>-40.5</v>
      </c>
      <c r="H19" s="6">
        <f t="shared" si="0"/>
        <v>-41.2</v>
      </c>
      <c r="I19" s="6">
        <f t="shared" si="1"/>
        <v>-55</v>
      </c>
      <c r="J19" s="1">
        <v>-55</v>
      </c>
      <c r="K19" s="1">
        <v>-54.3</v>
      </c>
      <c r="L19" s="1">
        <v>-54.3</v>
      </c>
      <c r="M19" s="6"/>
      <c r="N19" s="6"/>
      <c r="O19" s="6"/>
      <c r="P19" s="6"/>
      <c r="Q19" s="6"/>
      <c r="R19" s="6"/>
      <c r="S19" s="6"/>
    </row>
    <row r="20" spans="1:19" x14ac:dyDescent="0.4">
      <c r="A20" s="7">
        <v>46041</v>
      </c>
      <c r="B20" s="1">
        <v>-35.4</v>
      </c>
      <c r="C20" s="1">
        <v>-23.5</v>
      </c>
      <c r="D20" s="1">
        <v>-41.7</v>
      </c>
      <c r="E20" s="1">
        <v>-41.2</v>
      </c>
      <c r="F20" s="1">
        <v>-41.2</v>
      </c>
      <c r="G20" s="1">
        <v>-41.2</v>
      </c>
      <c r="H20" s="6">
        <f t="shared" si="0"/>
        <v>-41.2</v>
      </c>
      <c r="I20" s="6">
        <f t="shared" si="1"/>
        <v>-58.1</v>
      </c>
      <c r="J20" s="1">
        <v>-58.1</v>
      </c>
      <c r="K20" s="1">
        <v>-58.1</v>
      </c>
      <c r="L20" s="1">
        <v>-58.1</v>
      </c>
      <c r="M20" s="6"/>
      <c r="N20" s="6"/>
      <c r="O20" s="6"/>
      <c r="P20" s="6"/>
      <c r="Q20" s="6"/>
      <c r="R20" s="6"/>
      <c r="S20" s="6"/>
    </row>
    <row r="21" spans="1:19" x14ac:dyDescent="0.4">
      <c r="A21" s="7">
        <v>46042</v>
      </c>
      <c r="B21" s="1">
        <v>-32.799999999999997</v>
      </c>
      <c r="C21" s="1">
        <v>-20.8</v>
      </c>
      <c r="D21" s="1">
        <v>-39.700000000000003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spans="1:19" x14ac:dyDescent="0.4">
      <c r="A22" s="7">
        <v>46043</v>
      </c>
      <c r="B22" s="1">
        <v>-23.8</v>
      </c>
      <c r="C22" s="1">
        <v>-13.6</v>
      </c>
      <c r="D22" s="1">
        <v>-29.6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spans="1:19" x14ac:dyDescent="0.4">
      <c r="A23" s="7">
        <v>46044</v>
      </c>
      <c r="B23" s="1">
        <v>-20.100000000000001</v>
      </c>
      <c r="C23" s="1">
        <v>-11.9</v>
      </c>
      <c r="D23" s="1">
        <v>-26.9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spans="1:19" x14ac:dyDescent="0.4">
      <c r="A24" s="7">
        <v>46045</v>
      </c>
      <c r="B24" s="1">
        <v>-17.899999999999999</v>
      </c>
      <c r="C24" s="1">
        <v>-10</v>
      </c>
      <c r="D24" s="1">
        <v>-25.5</v>
      </c>
      <c r="E24" s="1">
        <v>-26.1</v>
      </c>
      <c r="F24" s="6"/>
      <c r="G24" s="6"/>
      <c r="H24" s="6"/>
      <c r="I24" s="6"/>
      <c r="J24" s="6">
        <v>-36.200000000000003</v>
      </c>
      <c r="K24" s="6"/>
      <c r="L24" s="6"/>
      <c r="M24" s="6"/>
      <c r="N24" s="6"/>
      <c r="O24" s="6"/>
      <c r="P24" s="6"/>
      <c r="Q24" s="6"/>
      <c r="R24" s="6"/>
      <c r="S24" s="6"/>
    </row>
    <row r="25" spans="1:19" x14ac:dyDescent="0.4">
      <c r="A25" s="7">
        <v>46046</v>
      </c>
      <c r="B25" s="2">
        <f>AVERAGE(C25:D25)</f>
        <v>-11.85</v>
      </c>
      <c r="C25" s="1">
        <v>-7.3</v>
      </c>
      <c r="D25" s="1">
        <v>-16.399999999999999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x14ac:dyDescent="0.4">
      <c r="A26" s="7">
        <v>46047</v>
      </c>
      <c r="B26" s="1">
        <v>-21.7</v>
      </c>
      <c r="C26" s="1">
        <v>-12.2</v>
      </c>
      <c r="D26" s="1">
        <v>-28.5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spans="1:19" x14ac:dyDescent="0.4">
      <c r="A27" s="7">
        <v>46048</v>
      </c>
      <c r="B27" s="1">
        <v>-11.3</v>
      </c>
      <c r="C27" s="1">
        <v>-6.3</v>
      </c>
      <c r="D27" s="1">
        <v>-17.7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spans="1:19" x14ac:dyDescent="0.4">
      <c r="A28" s="7">
        <v>46049</v>
      </c>
      <c r="B28" s="1">
        <v>-6.9</v>
      </c>
      <c r="C28" s="1">
        <v>-3.7</v>
      </c>
      <c r="D28" s="1">
        <v>-9.6999999999999993</v>
      </c>
      <c r="E28" s="1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spans="1:19" x14ac:dyDescent="0.4">
      <c r="A29" s="7">
        <v>46050</v>
      </c>
      <c r="B29" s="1">
        <v>-7.2</v>
      </c>
      <c r="C29" s="1">
        <v>-0.8</v>
      </c>
      <c r="D29" s="1">
        <v>-9.6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  <row r="30" spans="1:19" x14ac:dyDescent="0.4">
      <c r="A30" s="7">
        <v>46051</v>
      </c>
      <c r="B30" s="1">
        <v>-12</v>
      </c>
      <c r="C30" s="1">
        <v>-2.2999999999999998</v>
      </c>
      <c r="D30" s="1">
        <v>-17.2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</row>
    <row r="31" spans="1:19" x14ac:dyDescent="0.4">
      <c r="A31" s="7">
        <v>46052</v>
      </c>
      <c r="B31" s="1">
        <v>-17</v>
      </c>
      <c r="C31" s="1">
        <v>-6.1</v>
      </c>
      <c r="D31" s="1">
        <v>-23.2</v>
      </c>
      <c r="E31" s="1">
        <v>-21.1</v>
      </c>
      <c r="F31" s="6"/>
      <c r="G31" s="1">
        <v>-21.1</v>
      </c>
      <c r="H31" s="6"/>
      <c r="I31" s="6"/>
      <c r="J31" s="6">
        <v>-27.4</v>
      </c>
      <c r="K31" s="6"/>
      <c r="L31" s="6">
        <v>-29.9</v>
      </c>
      <c r="M31" s="6"/>
      <c r="N31" s="6"/>
      <c r="O31" s="6"/>
      <c r="P31" s="6"/>
      <c r="Q31" s="6"/>
      <c r="R31" s="6"/>
      <c r="S31" s="6"/>
    </row>
    <row r="32" spans="1:19" x14ac:dyDescent="0.4">
      <c r="A32" s="7">
        <v>46053</v>
      </c>
      <c r="B32" s="1">
        <v>-19</v>
      </c>
      <c r="C32" s="1">
        <v>-6.5</v>
      </c>
      <c r="D32" s="1">
        <v>-25.9</v>
      </c>
      <c r="E32" s="1">
        <v>-24.2</v>
      </c>
      <c r="F32" s="6"/>
      <c r="G32" s="6"/>
      <c r="H32" s="6"/>
      <c r="I32" s="6"/>
      <c r="J32" s="6">
        <v>-36.200000000000003</v>
      </c>
      <c r="K32" s="6"/>
      <c r="L32" s="6"/>
      <c r="M32" s="6"/>
      <c r="N32" s="6"/>
      <c r="O32" s="6"/>
      <c r="P32" s="6"/>
      <c r="Q32" s="6"/>
      <c r="R32" s="6"/>
      <c r="S32" s="6"/>
    </row>
    <row r="33" spans="2:9" x14ac:dyDescent="0.4">
      <c r="B33" s="1">
        <f>AVERAGE(B2:B32)</f>
        <v>-19.39516129032258</v>
      </c>
      <c r="C33" s="1">
        <f>AVERAGE(C2:C32)</f>
        <v>-10.770967741935484</v>
      </c>
      <c r="D33" s="1">
        <f>AVERAGE(D2:D32)</f>
        <v>-25.045161290322586</v>
      </c>
      <c r="H33">
        <f>AVERAGE(H2:H32)</f>
        <v>-40.549999999999997</v>
      </c>
      <c r="I33">
        <f>AVERAGE(I2:I32)</f>
        <v>-55.774999999999999</v>
      </c>
    </row>
    <row r="34" spans="2:9" x14ac:dyDescent="0.4">
      <c r="B34" s="1">
        <v>-19.27</v>
      </c>
    </row>
  </sheetData>
  <autoFilter ref="A1:D32" xr:uid="{24704C8A-7C1B-4047-AE79-6DC85E5ACD18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CBCCA-8919-440A-A505-5E806EAEC4B2}">
  <dimension ref="A1:K195"/>
  <sheetViews>
    <sheetView topLeftCell="A166" workbookViewId="0">
      <selection activeCell="M172" sqref="M172"/>
    </sheetView>
  </sheetViews>
  <sheetFormatPr defaultRowHeight="13.9" x14ac:dyDescent="0.4"/>
  <cols>
    <col min="2" max="11" width="12.59765625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 s="3">
        <v>46023</v>
      </c>
      <c r="B2">
        <v>0</v>
      </c>
      <c r="C2">
        <v>0</v>
      </c>
      <c r="D2" t="s">
        <v>11</v>
      </c>
      <c r="E2">
        <v>-18.600000000000001</v>
      </c>
      <c r="F2">
        <v>-7.7</v>
      </c>
      <c r="G2">
        <v>-22.8</v>
      </c>
      <c r="H2" t="s">
        <v>11</v>
      </c>
      <c r="I2" t="s">
        <v>11</v>
      </c>
      <c r="J2" t="s">
        <v>11</v>
      </c>
      <c r="K2" t="s">
        <v>11</v>
      </c>
    </row>
    <row r="3" spans="1:11" x14ac:dyDescent="0.4">
      <c r="A3" s="3">
        <v>46024</v>
      </c>
      <c r="B3">
        <v>0</v>
      </c>
      <c r="C3">
        <v>0</v>
      </c>
      <c r="D3" t="s">
        <v>11</v>
      </c>
      <c r="E3">
        <v>-17.2</v>
      </c>
      <c r="F3">
        <v>-8.5</v>
      </c>
      <c r="G3">
        <v>-19.8</v>
      </c>
      <c r="H3" t="s">
        <v>11</v>
      </c>
      <c r="I3" t="s">
        <v>11</v>
      </c>
      <c r="J3" t="s">
        <v>11</v>
      </c>
      <c r="K3" t="s">
        <v>11</v>
      </c>
    </row>
    <row r="4" spans="1:11" x14ac:dyDescent="0.4">
      <c r="A4" s="3">
        <v>46025</v>
      </c>
      <c r="B4">
        <v>0</v>
      </c>
      <c r="C4">
        <v>0</v>
      </c>
      <c r="D4" t="s">
        <v>11</v>
      </c>
      <c r="E4">
        <v>-19</v>
      </c>
      <c r="F4">
        <v>-9.8000000000000007</v>
      </c>
      <c r="G4">
        <v>-24.6</v>
      </c>
      <c r="H4" t="s">
        <v>11</v>
      </c>
      <c r="I4" t="s">
        <v>11</v>
      </c>
      <c r="J4" t="s">
        <v>11</v>
      </c>
      <c r="K4" t="s">
        <v>11</v>
      </c>
    </row>
    <row r="5" spans="1:11" x14ac:dyDescent="0.4">
      <c r="A5" s="3">
        <v>46026</v>
      </c>
      <c r="B5">
        <v>1.8</v>
      </c>
      <c r="C5">
        <v>1.8</v>
      </c>
      <c r="D5" t="s">
        <v>11</v>
      </c>
      <c r="E5">
        <v>-10.6</v>
      </c>
      <c r="F5">
        <v>-6.2</v>
      </c>
      <c r="G5">
        <v>-16.399999999999999</v>
      </c>
      <c r="H5" t="s">
        <v>11</v>
      </c>
      <c r="I5" t="s">
        <v>11</v>
      </c>
      <c r="J5" t="s">
        <v>11</v>
      </c>
      <c r="K5" t="s">
        <v>11</v>
      </c>
    </row>
    <row r="6" spans="1:11" x14ac:dyDescent="0.4">
      <c r="A6" s="3">
        <v>46027</v>
      </c>
      <c r="B6">
        <v>0</v>
      </c>
      <c r="C6">
        <v>1.8</v>
      </c>
      <c r="D6" t="s">
        <v>11</v>
      </c>
      <c r="E6" t="s">
        <v>11</v>
      </c>
      <c r="F6">
        <v>-11.1</v>
      </c>
      <c r="G6">
        <v>-25.3</v>
      </c>
      <c r="H6" t="s">
        <v>11</v>
      </c>
      <c r="I6" t="s">
        <v>11</v>
      </c>
      <c r="J6" t="s">
        <v>11</v>
      </c>
      <c r="K6" t="s">
        <v>11</v>
      </c>
    </row>
    <row r="7" spans="1:11" x14ac:dyDescent="0.4">
      <c r="A7" s="3">
        <v>46028</v>
      </c>
      <c r="B7">
        <v>0</v>
      </c>
      <c r="C7">
        <v>1.8</v>
      </c>
      <c r="D7" t="s">
        <v>11</v>
      </c>
      <c r="E7">
        <v>-17.7</v>
      </c>
      <c r="F7">
        <v>-9.3000000000000007</v>
      </c>
      <c r="G7">
        <v>-22.8</v>
      </c>
      <c r="H7" t="s">
        <v>11</v>
      </c>
      <c r="I7" t="s">
        <v>11</v>
      </c>
      <c r="J7" t="s">
        <v>11</v>
      </c>
      <c r="K7" t="s">
        <v>11</v>
      </c>
    </row>
    <row r="8" spans="1:11" x14ac:dyDescent="0.4">
      <c r="A8" s="3">
        <v>46029</v>
      </c>
      <c r="B8">
        <v>2.1</v>
      </c>
      <c r="C8">
        <v>3.9</v>
      </c>
      <c r="D8" t="s">
        <v>11</v>
      </c>
      <c r="E8">
        <v>-9.9</v>
      </c>
      <c r="F8">
        <v>-6.2</v>
      </c>
      <c r="G8">
        <v>-14.6</v>
      </c>
      <c r="H8" t="s">
        <v>11</v>
      </c>
      <c r="I8" t="s">
        <v>11</v>
      </c>
      <c r="J8" t="s">
        <v>11</v>
      </c>
      <c r="K8" t="s">
        <v>11</v>
      </c>
    </row>
    <row r="9" spans="1:11" x14ac:dyDescent="0.4">
      <c r="A9" s="3">
        <v>46030</v>
      </c>
      <c r="B9">
        <v>1</v>
      </c>
      <c r="C9">
        <v>4.9000000000000004</v>
      </c>
      <c r="D9" t="s">
        <v>11</v>
      </c>
      <c r="E9">
        <v>-11</v>
      </c>
      <c r="F9">
        <v>-5.9</v>
      </c>
      <c r="G9">
        <v>-18</v>
      </c>
      <c r="H9" t="s">
        <v>11</v>
      </c>
      <c r="I9" t="s">
        <v>11</v>
      </c>
      <c r="J9" t="s">
        <v>11</v>
      </c>
      <c r="K9" t="s">
        <v>11</v>
      </c>
    </row>
    <row r="10" spans="1:11" x14ac:dyDescent="0.4">
      <c r="A10" s="3">
        <v>46031</v>
      </c>
      <c r="B10">
        <v>0</v>
      </c>
      <c r="C10">
        <v>4.9000000000000004</v>
      </c>
      <c r="D10" t="s">
        <v>11</v>
      </c>
      <c r="E10">
        <v>-26.1</v>
      </c>
      <c r="F10">
        <v>-15.9</v>
      </c>
      <c r="G10">
        <v>-32</v>
      </c>
      <c r="H10" t="s">
        <v>11</v>
      </c>
      <c r="I10" t="s">
        <v>11</v>
      </c>
      <c r="J10" t="s">
        <v>11</v>
      </c>
      <c r="K10" t="s">
        <v>11</v>
      </c>
    </row>
    <row r="11" spans="1:11" x14ac:dyDescent="0.4">
      <c r="A11" s="3">
        <v>46032</v>
      </c>
      <c r="B11">
        <v>0</v>
      </c>
      <c r="C11">
        <v>4.9000000000000004</v>
      </c>
      <c r="D11" t="s">
        <v>11</v>
      </c>
      <c r="E11">
        <v>-24.7</v>
      </c>
      <c r="F11">
        <v>-13.5</v>
      </c>
      <c r="G11">
        <v>-29.9</v>
      </c>
      <c r="H11">
        <v>-17.899999999999999</v>
      </c>
      <c r="I11" t="s">
        <v>11</v>
      </c>
      <c r="J11" t="s">
        <v>11</v>
      </c>
      <c r="K11" t="s">
        <v>11</v>
      </c>
    </row>
    <row r="12" spans="1:11" x14ac:dyDescent="0.4">
      <c r="A12" s="3">
        <v>46033</v>
      </c>
      <c r="B12">
        <v>0</v>
      </c>
      <c r="C12">
        <v>4.9000000000000004</v>
      </c>
      <c r="D12" t="s">
        <v>11</v>
      </c>
      <c r="E12" t="s">
        <v>11</v>
      </c>
      <c r="F12">
        <v>-12.2</v>
      </c>
      <c r="G12">
        <v>-26.8</v>
      </c>
      <c r="H12" t="s">
        <v>11</v>
      </c>
      <c r="I12" t="s">
        <v>11</v>
      </c>
      <c r="J12" t="s">
        <v>11</v>
      </c>
      <c r="K12" t="s">
        <v>11</v>
      </c>
    </row>
    <row r="13" spans="1:11" x14ac:dyDescent="0.4">
      <c r="A13" s="3">
        <v>46034</v>
      </c>
      <c r="B13">
        <v>4.0999999999999996</v>
      </c>
      <c r="C13">
        <v>9</v>
      </c>
      <c r="D13" t="s">
        <v>11</v>
      </c>
      <c r="E13">
        <v>-13.4</v>
      </c>
      <c r="F13">
        <v>-7.3</v>
      </c>
      <c r="G13">
        <v>-21</v>
      </c>
      <c r="H13" t="s">
        <v>11</v>
      </c>
      <c r="I13" t="s">
        <v>11</v>
      </c>
      <c r="J13" t="s">
        <v>11</v>
      </c>
      <c r="K13" t="s">
        <v>11</v>
      </c>
    </row>
    <row r="14" spans="1:11" x14ac:dyDescent="0.4">
      <c r="A14" s="3">
        <v>46035</v>
      </c>
      <c r="B14">
        <v>9.1</v>
      </c>
      <c r="C14">
        <v>18.100000000000001</v>
      </c>
      <c r="D14" t="s">
        <v>11</v>
      </c>
      <c r="E14">
        <v>-7.4</v>
      </c>
      <c r="F14">
        <v>-1.4</v>
      </c>
      <c r="G14">
        <v>-10.3</v>
      </c>
      <c r="H14" t="s">
        <v>11</v>
      </c>
      <c r="I14" t="s">
        <v>11</v>
      </c>
      <c r="J14" t="s">
        <v>11</v>
      </c>
      <c r="K14" t="s">
        <v>11</v>
      </c>
    </row>
    <row r="15" spans="1:11" x14ac:dyDescent="0.4">
      <c r="A15" s="3">
        <v>46036</v>
      </c>
      <c r="B15">
        <v>0.1</v>
      </c>
      <c r="C15">
        <v>18.2</v>
      </c>
      <c r="D15" t="s">
        <v>11</v>
      </c>
      <c r="E15">
        <v>-18.7</v>
      </c>
      <c r="F15">
        <v>-10</v>
      </c>
      <c r="G15">
        <v>-23.7</v>
      </c>
      <c r="H15" t="s">
        <v>11</v>
      </c>
      <c r="I15" t="s">
        <v>11</v>
      </c>
      <c r="J15" t="s">
        <v>11</v>
      </c>
      <c r="K15" t="s">
        <v>11</v>
      </c>
    </row>
    <row r="16" spans="1:11" x14ac:dyDescent="0.4">
      <c r="A16" s="3">
        <v>46037</v>
      </c>
      <c r="B16">
        <v>0</v>
      </c>
      <c r="C16">
        <v>18.2</v>
      </c>
      <c r="D16" t="s">
        <v>11</v>
      </c>
      <c r="E16">
        <v>-29.5</v>
      </c>
      <c r="F16">
        <v>-17.7</v>
      </c>
      <c r="G16">
        <v>-35.9</v>
      </c>
      <c r="H16" t="s">
        <v>11</v>
      </c>
      <c r="I16" t="s">
        <v>11</v>
      </c>
      <c r="J16" t="s">
        <v>11</v>
      </c>
      <c r="K16" t="s">
        <v>11</v>
      </c>
    </row>
    <row r="17" spans="1:11" x14ac:dyDescent="0.4">
      <c r="A17" s="3">
        <v>46038</v>
      </c>
      <c r="B17">
        <v>0</v>
      </c>
      <c r="C17">
        <v>18.2</v>
      </c>
      <c r="D17" t="s">
        <v>11</v>
      </c>
      <c r="E17">
        <v>-32.700000000000003</v>
      </c>
      <c r="F17">
        <v>-21.4</v>
      </c>
      <c r="G17">
        <v>-38.200000000000003</v>
      </c>
      <c r="H17">
        <v>-20.3</v>
      </c>
      <c r="I17" t="s">
        <v>11</v>
      </c>
      <c r="J17" t="s">
        <v>11</v>
      </c>
      <c r="K17" t="s">
        <v>11</v>
      </c>
    </row>
    <row r="18" spans="1:11" x14ac:dyDescent="0.4">
      <c r="A18" s="3">
        <v>46039</v>
      </c>
      <c r="B18">
        <v>0</v>
      </c>
      <c r="C18">
        <v>18.2</v>
      </c>
      <c r="D18" t="s">
        <v>11</v>
      </c>
      <c r="E18">
        <v>-34.799999999999997</v>
      </c>
      <c r="F18">
        <v>-22.2</v>
      </c>
      <c r="G18">
        <v>-41.1</v>
      </c>
      <c r="H18">
        <v>-24.6</v>
      </c>
      <c r="I18" t="s">
        <v>11</v>
      </c>
      <c r="J18" t="s">
        <v>11</v>
      </c>
      <c r="K18" t="s">
        <v>11</v>
      </c>
    </row>
    <row r="19" spans="1:11" x14ac:dyDescent="0.4">
      <c r="A19" s="3">
        <v>46040</v>
      </c>
      <c r="B19">
        <v>0</v>
      </c>
      <c r="C19">
        <v>18.2</v>
      </c>
      <c r="D19" t="s">
        <v>11</v>
      </c>
      <c r="E19">
        <v>-35.299999999999997</v>
      </c>
      <c r="F19">
        <v>-22.6</v>
      </c>
      <c r="G19">
        <v>-41.6</v>
      </c>
      <c r="H19">
        <v>-30.2</v>
      </c>
      <c r="I19" t="s">
        <v>11</v>
      </c>
      <c r="J19" t="s">
        <v>11</v>
      </c>
      <c r="K19" t="s">
        <v>11</v>
      </c>
    </row>
    <row r="20" spans="1:11" x14ac:dyDescent="0.4">
      <c r="A20" s="3">
        <v>46041</v>
      </c>
      <c r="B20">
        <v>0</v>
      </c>
      <c r="C20">
        <v>18.2</v>
      </c>
      <c r="D20" t="s">
        <v>11</v>
      </c>
      <c r="E20">
        <v>-35.4</v>
      </c>
      <c r="F20">
        <v>-23.5</v>
      </c>
      <c r="G20">
        <v>-41.7</v>
      </c>
      <c r="H20">
        <v>-33.5</v>
      </c>
      <c r="I20" t="s">
        <v>11</v>
      </c>
      <c r="J20" t="s">
        <v>11</v>
      </c>
      <c r="K20" t="s">
        <v>11</v>
      </c>
    </row>
    <row r="21" spans="1:11" x14ac:dyDescent="0.4">
      <c r="A21" s="3">
        <v>46042</v>
      </c>
      <c r="B21">
        <v>0</v>
      </c>
      <c r="C21">
        <v>18.2</v>
      </c>
      <c r="D21" t="s">
        <v>11</v>
      </c>
      <c r="E21">
        <v>-32.799999999999997</v>
      </c>
      <c r="F21">
        <v>-20.8</v>
      </c>
      <c r="G21">
        <v>-39.700000000000003</v>
      </c>
      <c r="H21">
        <v>-34.200000000000003</v>
      </c>
      <c r="I21" t="s">
        <v>11</v>
      </c>
      <c r="J21" t="s">
        <v>11</v>
      </c>
      <c r="K21" t="s">
        <v>11</v>
      </c>
    </row>
    <row r="22" spans="1:11" x14ac:dyDescent="0.4">
      <c r="A22" s="3">
        <v>46043</v>
      </c>
      <c r="B22">
        <v>0</v>
      </c>
      <c r="C22">
        <v>18.2</v>
      </c>
      <c r="D22" t="s">
        <v>11</v>
      </c>
      <c r="E22">
        <v>-23.8</v>
      </c>
      <c r="F22">
        <v>-13.6</v>
      </c>
      <c r="G22">
        <v>-29.6</v>
      </c>
      <c r="H22">
        <v>-32.4</v>
      </c>
      <c r="I22" t="s">
        <v>11</v>
      </c>
      <c r="J22" t="s">
        <v>11</v>
      </c>
      <c r="K22" t="s">
        <v>11</v>
      </c>
    </row>
    <row r="23" spans="1:11" x14ac:dyDescent="0.4">
      <c r="A23" s="3">
        <v>46044</v>
      </c>
      <c r="B23">
        <v>0</v>
      </c>
      <c r="C23">
        <v>18.2</v>
      </c>
      <c r="D23" t="s">
        <v>11</v>
      </c>
      <c r="E23">
        <v>-20.100000000000001</v>
      </c>
      <c r="F23">
        <v>-11.9</v>
      </c>
      <c r="G23">
        <v>-26.9</v>
      </c>
      <c r="H23">
        <v>-29.5</v>
      </c>
      <c r="I23" t="s">
        <v>11</v>
      </c>
      <c r="J23" t="s">
        <v>11</v>
      </c>
      <c r="K23" t="s">
        <v>11</v>
      </c>
    </row>
    <row r="24" spans="1:11" x14ac:dyDescent="0.4">
      <c r="A24" s="3">
        <v>46045</v>
      </c>
      <c r="B24">
        <v>0</v>
      </c>
      <c r="C24">
        <v>18.2</v>
      </c>
      <c r="D24" t="s">
        <v>11</v>
      </c>
      <c r="E24">
        <v>-17.899999999999999</v>
      </c>
      <c r="F24">
        <v>-10</v>
      </c>
      <c r="G24">
        <v>-25.5</v>
      </c>
      <c r="H24">
        <v>-26</v>
      </c>
      <c r="I24" t="s">
        <v>11</v>
      </c>
      <c r="J24" t="s">
        <v>11</v>
      </c>
      <c r="K24" t="s">
        <v>11</v>
      </c>
    </row>
    <row r="25" spans="1:11" x14ac:dyDescent="0.4">
      <c r="A25" s="3">
        <v>46046</v>
      </c>
      <c r="B25">
        <v>0.2</v>
      </c>
      <c r="C25">
        <v>18.399999999999999</v>
      </c>
      <c r="D25" t="s">
        <v>11</v>
      </c>
      <c r="E25" t="s">
        <v>11</v>
      </c>
      <c r="F25">
        <v>-7.3</v>
      </c>
      <c r="G25">
        <v>-16.399999999999999</v>
      </c>
      <c r="H25" t="s">
        <v>11</v>
      </c>
      <c r="I25" t="s">
        <v>11</v>
      </c>
      <c r="J25" t="s">
        <v>11</v>
      </c>
      <c r="K25" t="s">
        <v>11</v>
      </c>
    </row>
    <row r="26" spans="1:11" x14ac:dyDescent="0.4">
      <c r="A26" s="3">
        <v>46047</v>
      </c>
      <c r="B26">
        <v>0</v>
      </c>
      <c r="C26">
        <v>18.399999999999999</v>
      </c>
      <c r="D26" t="s">
        <v>11</v>
      </c>
      <c r="E26">
        <v>-21.7</v>
      </c>
      <c r="F26">
        <v>-12.2</v>
      </c>
      <c r="G26">
        <v>-28.5</v>
      </c>
      <c r="H26" t="s">
        <v>11</v>
      </c>
      <c r="I26" t="s">
        <v>11</v>
      </c>
      <c r="J26" t="s">
        <v>11</v>
      </c>
      <c r="K26" t="s">
        <v>11</v>
      </c>
    </row>
    <row r="27" spans="1:11" x14ac:dyDescent="0.4">
      <c r="A27" s="3">
        <v>46048</v>
      </c>
      <c r="B27">
        <v>2.8</v>
      </c>
      <c r="C27">
        <v>21.2</v>
      </c>
      <c r="D27" t="s">
        <v>11</v>
      </c>
      <c r="E27">
        <v>-11.3</v>
      </c>
      <c r="F27">
        <v>-6.3</v>
      </c>
      <c r="G27">
        <v>-17.7</v>
      </c>
      <c r="H27" t="s">
        <v>11</v>
      </c>
      <c r="I27" t="s">
        <v>11</v>
      </c>
      <c r="J27" t="s">
        <v>11</v>
      </c>
      <c r="K27" t="s">
        <v>11</v>
      </c>
    </row>
    <row r="28" spans="1:11" x14ac:dyDescent="0.4">
      <c r="A28" s="3">
        <v>46049</v>
      </c>
      <c r="B28">
        <v>4.2</v>
      </c>
      <c r="C28">
        <v>25.4</v>
      </c>
      <c r="D28" t="s">
        <v>11</v>
      </c>
      <c r="E28">
        <v>-6.9</v>
      </c>
      <c r="F28">
        <v>-3.7</v>
      </c>
      <c r="G28">
        <v>-9.6999999999999993</v>
      </c>
      <c r="H28" t="s">
        <v>11</v>
      </c>
      <c r="I28" t="s">
        <v>11</v>
      </c>
      <c r="J28" t="s">
        <v>11</v>
      </c>
      <c r="K28" t="s">
        <v>11</v>
      </c>
    </row>
    <row r="29" spans="1:11" x14ac:dyDescent="0.4">
      <c r="A29" s="3">
        <v>46050</v>
      </c>
      <c r="B29">
        <v>1.7</v>
      </c>
      <c r="C29">
        <v>27.1</v>
      </c>
      <c r="D29" t="s">
        <v>11</v>
      </c>
      <c r="E29">
        <v>-7.2</v>
      </c>
      <c r="F29">
        <v>-0.8</v>
      </c>
      <c r="G29">
        <v>-9.6</v>
      </c>
      <c r="H29" t="s">
        <v>11</v>
      </c>
      <c r="I29" t="s">
        <v>11</v>
      </c>
      <c r="J29" t="s">
        <v>11</v>
      </c>
      <c r="K29" t="s">
        <v>11</v>
      </c>
    </row>
    <row r="30" spans="1:11" x14ac:dyDescent="0.4">
      <c r="A30" s="3">
        <v>46051</v>
      </c>
      <c r="B30">
        <v>0</v>
      </c>
      <c r="C30">
        <v>27.1</v>
      </c>
      <c r="D30" t="s">
        <v>11</v>
      </c>
      <c r="E30">
        <v>-12</v>
      </c>
      <c r="F30">
        <v>-2.2999999999999998</v>
      </c>
      <c r="G30">
        <v>-17.2</v>
      </c>
      <c r="H30">
        <v>-11.8</v>
      </c>
      <c r="I30" t="s">
        <v>11</v>
      </c>
      <c r="J30" t="s">
        <v>11</v>
      </c>
      <c r="K30" t="s">
        <v>11</v>
      </c>
    </row>
    <row r="31" spans="1:11" x14ac:dyDescent="0.4">
      <c r="A31" s="3">
        <v>46052</v>
      </c>
      <c r="B31">
        <v>0</v>
      </c>
      <c r="C31">
        <v>27.1</v>
      </c>
      <c r="D31" t="s">
        <v>11</v>
      </c>
      <c r="E31">
        <v>-17</v>
      </c>
      <c r="F31">
        <v>-6.1</v>
      </c>
      <c r="G31">
        <v>-23.2</v>
      </c>
      <c r="H31">
        <v>-10.9</v>
      </c>
      <c r="I31" t="s">
        <v>11</v>
      </c>
      <c r="J31" t="s">
        <v>11</v>
      </c>
      <c r="K31" t="s">
        <v>11</v>
      </c>
    </row>
    <row r="32" spans="1:11" x14ac:dyDescent="0.4">
      <c r="A32" s="3">
        <v>46053</v>
      </c>
      <c r="B32">
        <v>0</v>
      </c>
      <c r="C32">
        <v>27.1</v>
      </c>
      <c r="D32" t="s">
        <v>11</v>
      </c>
      <c r="E32">
        <v>-19</v>
      </c>
      <c r="F32">
        <v>-6.5</v>
      </c>
      <c r="G32">
        <v>-25.9</v>
      </c>
      <c r="H32">
        <v>-12.4</v>
      </c>
      <c r="I32" t="s">
        <v>11</v>
      </c>
      <c r="J32" t="s">
        <v>11</v>
      </c>
      <c r="K32" t="s">
        <v>11</v>
      </c>
    </row>
    <row r="33" spans="1:11" x14ac:dyDescent="0.4">
      <c r="A33" s="3">
        <v>46054</v>
      </c>
      <c r="B33">
        <v>0</v>
      </c>
      <c r="C33">
        <v>27.1</v>
      </c>
      <c r="D33" t="s">
        <v>11</v>
      </c>
      <c r="E33">
        <v>-19.3</v>
      </c>
      <c r="F33">
        <v>-6.6</v>
      </c>
      <c r="G33">
        <v>-26.3</v>
      </c>
      <c r="H33">
        <v>-14.9</v>
      </c>
      <c r="I33" t="s">
        <v>11</v>
      </c>
      <c r="J33" t="s">
        <v>11</v>
      </c>
      <c r="K33" t="s">
        <v>11</v>
      </c>
    </row>
    <row r="34" spans="1:11" x14ac:dyDescent="0.4">
      <c r="A34" s="3">
        <v>46055</v>
      </c>
      <c r="B34">
        <v>0</v>
      </c>
      <c r="C34">
        <v>27.1</v>
      </c>
      <c r="D34" t="s">
        <v>11</v>
      </c>
      <c r="E34">
        <v>-19.7</v>
      </c>
      <c r="F34">
        <v>-6.7</v>
      </c>
      <c r="G34">
        <v>-26.8</v>
      </c>
      <c r="H34">
        <v>-17.399999999999999</v>
      </c>
      <c r="I34" t="s">
        <v>11</v>
      </c>
      <c r="J34" t="s">
        <v>11</v>
      </c>
      <c r="K34" t="s">
        <v>11</v>
      </c>
    </row>
    <row r="35" spans="1:11" x14ac:dyDescent="0.4">
      <c r="A35" s="3">
        <v>46056</v>
      </c>
      <c r="B35">
        <v>0</v>
      </c>
      <c r="C35">
        <v>27.1</v>
      </c>
      <c r="D35" t="s">
        <v>11</v>
      </c>
      <c r="E35">
        <v>-18.899999999999999</v>
      </c>
      <c r="F35">
        <v>-6.4</v>
      </c>
      <c r="G35">
        <v>-26.8</v>
      </c>
      <c r="H35">
        <v>-18.8</v>
      </c>
      <c r="I35" t="s">
        <v>11</v>
      </c>
      <c r="J35" t="s">
        <v>11</v>
      </c>
      <c r="K35" t="s">
        <v>11</v>
      </c>
    </row>
    <row r="36" spans="1:11" x14ac:dyDescent="0.4">
      <c r="A36" s="3">
        <v>46057</v>
      </c>
      <c r="B36">
        <v>2.4</v>
      </c>
      <c r="C36">
        <v>29.5</v>
      </c>
      <c r="D36" t="s">
        <v>11</v>
      </c>
      <c r="E36">
        <v>-8.8000000000000007</v>
      </c>
      <c r="F36">
        <v>-1.2</v>
      </c>
      <c r="G36">
        <v>-13.1</v>
      </c>
      <c r="H36">
        <v>-17.100000000000001</v>
      </c>
      <c r="I36" t="s">
        <v>11</v>
      </c>
      <c r="J36" t="s">
        <v>11</v>
      </c>
      <c r="K36" t="s">
        <v>11</v>
      </c>
    </row>
    <row r="37" spans="1:11" x14ac:dyDescent="0.4">
      <c r="A37" s="3">
        <v>46058</v>
      </c>
      <c r="B37">
        <v>0</v>
      </c>
      <c r="C37">
        <v>29.5</v>
      </c>
      <c r="D37" t="s">
        <v>11</v>
      </c>
      <c r="E37">
        <v>-13.1</v>
      </c>
      <c r="F37">
        <v>-4.5</v>
      </c>
      <c r="G37">
        <v>-18.3</v>
      </c>
      <c r="H37">
        <v>-16</v>
      </c>
      <c r="I37" t="s">
        <v>11</v>
      </c>
      <c r="J37" t="s">
        <v>11</v>
      </c>
      <c r="K37" t="s">
        <v>11</v>
      </c>
    </row>
    <row r="38" spans="1:11" x14ac:dyDescent="0.4">
      <c r="A38" s="3">
        <v>46059</v>
      </c>
      <c r="B38">
        <v>0</v>
      </c>
      <c r="C38">
        <v>29.5</v>
      </c>
      <c r="D38" t="s">
        <v>11</v>
      </c>
      <c r="E38">
        <v>-21.3</v>
      </c>
      <c r="F38">
        <v>-7.4</v>
      </c>
      <c r="G38">
        <v>-29.4</v>
      </c>
      <c r="H38">
        <v>-16.399999999999999</v>
      </c>
      <c r="I38" t="s">
        <v>11</v>
      </c>
      <c r="J38" t="s">
        <v>11</v>
      </c>
      <c r="K38" t="s">
        <v>11</v>
      </c>
    </row>
    <row r="39" spans="1:11" x14ac:dyDescent="0.4">
      <c r="A39" s="3">
        <v>46060</v>
      </c>
      <c r="B39">
        <v>0</v>
      </c>
      <c r="C39">
        <v>29.5</v>
      </c>
      <c r="D39" t="s">
        <v>11</v>
      </c>
      <c r="E39">
        <v>-20.7</v>
      </c>
      <c r="F39">
        <v>-8.1999999999999993</v>
      </c>
      <c r="G39">
        <v>-28.3</v>
      </c>
      <c r="H39">
        <v>-16.600000000000001</v>
      </c>
      <c r="I39" t="s">
        <v>11</v>
      </c>
      <c r="J39" t="s">
        <v>11</v>
      </c>
      <c r="K39" t="s">
        <v>11</v>
      </c>
    </row>
    <row r="40" spans="1:11" x14ac:dyDescent="0.4">
      <c r="A40" s="3">
        <v>46061</v>
      </c>
      <c r="B40">
        <v>0</v>
      </c>
      <c r="C40">
        <v>29.5</v>
      </c>
      <c r="D40" t="s">
        <v>11</v>
      </c>
      <c r="E40">
        <v>-18.7</v>
      </c>
      <c r="F40">
        <v>-5.2</v>
      </c>
      <c r="G40">
        <v>-25.2</v>
      </c>
      <c r="H40">
        <v>-16.5</v>
      </c>
      <c r="I40" t="s">
        <v>11</v>
      </c>
      <c r="J40" t="s">
        <v>11</v>
      </c>
      <c r="K40" t="s">
        <v>11</v>
      </c>
    </row>
    <row r="41" spans="1:11" x14ac:dyDescent="0.4">
      <c r="A41" s="3">
        <v>46062</v>
      </c>
      <c r="B41">
        <v>0</v>
      </c>
      <c r="C41">
        <v>29.5</v>
      </c>
      <c r="D41" t="s">
        <v>11</v>
      </c>
      <c r="E41">
        <v>-20.5</v>
      </c>
      <c r="F41">
        <v>-8</v>
      </c>
      <c r="G41">
        <v>-28.8</v>
      </c>
      <c r="H41">
        <v>-18.899999999999999</v>
      </c>
      <c r="I41" t="s">
        <v>11</v>
      </c>
      <c r="J41" t="s">
        <v>11</v>
      </c>
      <c r="K41" t="s">
        <v>11</v>
      </c>
    </row>
    <row r="42" spans="1:11" x14ac:dyDescent="0.4">
      <c r="A42" s="3">
        <v>46063</v>
      </c>
      <c r="B42">
        <v>0</v>
      </c>
      <c r="C42">
        <v>29.5</v>
      </c>
      <c r="D42" t="s">
        <v>11</v>
      </c>
      <c r="E42">
        <v>-15.9</v>
      </c>
      <c r="F42">
        <v>-4.0999999999999996</v>
      </c>
      <c r="G42">
        <v>-25.4</v>
      </c>
      <c r="H42">
        <v>-19.399999999999999</v>
      </c>
      <c r="I42" t="s">
        <v>11</v>
      </c>
      <c r="J42" t="s">
        <v>11</v>
      </c>
      <c r="K42" t="s">
        <v>11</v>
      </c>
    </row>
    <row r="43" spans="1:11" x14ac:dyDescent="0.4">
      <c r="A43" s="3">
        <v>46064</v>
      </c>
      <c r="B43">
        <v>0</v>
      </c>
      <c r="C43">
        <v>29.5</v>
      </c>
      <c r="D43" t="s">
        <v>11</v>
      </c>
      <c r="E43">
        <v>-10.4</v>
      </c>
      <c r="F43">
        <v>-2.9</v>
      </c>
      <c r="G43">
        <v>-18.5</v>
      </c>
      <c r="H43">
        <v>-17.2</v>
      </c>
      <c r="I43" t="s">
        <v>11</v>
      </c>
      <c r="J43" t="s">
        <v>11</v>
      </c>
      <c r="K43" t="s">
        <v>11</v>
      </c>
    </row>
    <row r="44" spans="1:11" x14ac:dyDescent="0.4">
      <c r="A44" s="3">
        <v>46065</v>
      </c>
      <c r="B44">
        <v>11.4</v>
      </c>
      <c r="C44">
        <v>40.9</v>
      </c>
      <c r="D44" t="s">
        <v>11</v>
      </c>
      <c r="E44">
        <v>-5.2</v>
      </c>
      <c r="F44">
        <v>-0.4</v>
      </c>
      <c r="G44">
        <v>-9.3000000000000007</v>
      </c>
      <c r="H44">
        <v>-14.1</v>
      </c>
      <c r="I44" t="s">
        <v>11</v>
      </c>
      <c r="J44" t="s">
        <v>11</v>
      </c>
      <c r="K44" t="s">
        <v>11</v>
      </c>
    </row>
    <row r="45" spans="1:11" x14ac:dyDescent="0.4">
      <c r="A45" s="3">
        <v>46066</v>
      </c>
      <c r="B45">
        <v>0</v>
      </c>
      <c r="C45">
        <v>40.9</v>
      </c>
      <c r="D45" t="s">
        <v>11</v>
      </c>
      <c r="E45">
        <v>-21</v>
      </c>
      <c r="F45">
        <v>-8.8000000000000007</v>
      </c>
      <c r="G45">
        <v>-30.2</v>
      </c>
      <c r="H45">
        <v>-14.6</v>
      </c>
      <c r="I45" t="s">
        <v>11</v>
      </c>
      <c r="J45" t="s">
        <v>11</v>
      </c>
      <c r="K45" t="s">
        <v>11</v>
      </c>
    </row>
    <row r="46" spans="1:11" x14ac:dyDescent="0.4">
      <c r="A46" s="3">
        <v>46067</v>
      </c>
      <c r="B46">
        <v>0</v>
      </c>
      <c r="C46">
        <v>40.9</v>
      </c>
      <c r="D46" t="s">
        <v>11</v>
      </c>
      <c r="E46">
        <v>-23.2</v>
      </c>
      <c r="F46">
        <v>-7.3</v>
      </c>
      <c r="G46">
        <v>-32</v>
      </c>
      <c r="H46">
        <v>-15.1</v>
      </c>
      <c r="I46" t="s">
        <v>11</v>
      </c>
      <c r="J46" t="s">
        <v>11</v>
      </c>
      <c r="K46" t="s">
        <v>11</v>
      </c>
    </row>
    <row r="47" spans="1:11" x14ac:dyDescent="0.4">
      <c r="A47" s="3">
        <v>46068</v>
      </c>
      <c r="B47">
        <v>0</v>
      </c>
      <c r="C47">
        <v>40.9</v>
      </c>
      <c r="D47" t="s">
        <v>11</v>
      </c>
      <c r="E47">
        <v>-22.2</v>
      </c>
      <c r="F47">
        <v>-6.5</v>
      </c>
      <c r="G47">
        <v>-31</v>
      </c>
      <c r="H47">
        <v>-16.399999999999999</v>
      </c>
      <c r="I47" t="s">
        <v>11</v>
      </c>
      <c r="J47" t="s">
        <v>11</v>
      </c>
      <c r="K47" t="s">
        <v>11</v>
      </c>
    </row>
    <row r="48" spans="1:11" x14ac:dyDescent="0.4">
      <c r="A48" s="3">
        <v>46069</v>
      </c>
      <c r="B48">
        <v>0</v>
      </c>
      <c r="C48">
        <v>40.9</v>
      </c>
      <c r="D48" t="s">
        <v>11</v>
      </c>
      <c r="E48">
        <v>-22.2</v>
      </c>
      <c r="F48">
        <v>-6.5</v>
      </c>
      <c r="G48">
        <v>-31.4</v>
      </c>
      <c r="H48">
        <v>-18.8</v>
      </c>
      <c r="I48" t="s">
        <v>11</v>
      </c>
      <c r="J48" t="s">
        <v>11</v>
      </c>
      <c r="K48" t="s">
        <v>11</v>
      </c>
    </row>
    <row r="49" spans="1:11" x14ac:dyDescent="0.4">
      <c r="A49" s="3">
        <v>46070</v>
      </c>
      <c r="B49">
        <v>0</v>
      </c>
      <c r="C49">
        <v>40.9</v>
      </c>
      <c r="D49" t="s">
        <v>11</v>
      </c>
      <c r="E49">
        <v>-19.2</v>
      </c>
      <c r="F49">
        <v>-4.5</v>
      </c>
      <c r="G49">
        <v>-28.3</v>
      </c>
      <c r="H49">
        <v>-21.6</v>
      </c>
      <c r="I49" t="s">
        <v>11</v>
      </c>
      <c r="J49" t="s">
        <v>11</v>
      </c>
      <c r="K49" t="s">
        <v>11</v>
      </c>
    </row>
    <row r="50" spans="1:11" x14ac:dyDescent="0.4">
      <c r="A50" s="3">
        <v>46071</v>
      </c>
      <c r="B50">
        <v>0</v>
      </c>
      <c r="C50">
        <v>40.9</v>
      </c>
      <c r="D50" t="s">
        <v>11</v>
      </c>
      <c r="E50">
        <v>-11.5</v>
      </c>
      <c r="F50">
        <v>-0.6</v>
      </c>
      <c r="G50">
        <v>-21.2</v>
      </c>
      <c r="H50">
        <v>-19.7</v>
      </c>
      <c r="I50" t="s">
        <v>11</v>
      </c>
      <c r="J50" t="s">
        <v>11</v>
      </c>
      <c r="K50" t="s">
        <v>11</v>
      </c>
    </row>
    <row r="51" spans="1:11" x14ac:dyDescent="0.4">
      <c r="A51" s="3">
        <v>46072</v>
      </c>
      <c r="B51">
        <v>0</v>
      </c>
      <c r="C51">
        <v>40.9</v>
      </c>
      <c r="D51" t="s">
        <v>11</v>
      </c>
      <c r="E51">
        <v>-3.4</v>
      </c>
      <c r="F51">
        <v>2.5</v>
      </c>
      <c r="G51">
        <v>-10.3</v>
      </c>
      <c r="H51">
        <v>-15.7</v>
      </c>
      <c r="I51" t="s">
        <v>11</v>
      </c>
      <c r="J51" t="s">
        <v>11</v>
      </c>
      <c r="K51" t="s">
        <v>11</v>
      </c>
    </row>
    <row r="52" spans="1:11" x14ac:dyDescent="0.4">
      <c r="A52" s="3">
        <v>46073</v>
      </c>
      <c r="B52">
        <v>16.899999999999999</v>
      </c>
      <c r="C52">
        <v>57.8</v>
      </c>
      <c r="D52" t="s">
        <v>11</v>
      </c>
      <c r="E52">
        <v>-3.6</v>
      </c>
      <c r="F52">
        <v>1.8</v>
      </c>
      <c r="G52">
        <v>-9.5</v>
      </c>
      <c r="H52">
        <v>-12</v>
      </c>
      <c r="I52" t="s">
        <v>11</v>
      </c>
      <c r="J52" t="s">
        <v>11</v>
      </c>
      <c r="K52" t="s">
        <v>11</v>
      </c>
    </row>
    <row r="53" spans="1:11" x14ac:dyDescent="0.4">
      <c r="A53" s="3">
        <v>46074</v>
      </c>
      <c r="B53">
        <v>0.9</v>
      </c>
      <c r="C53">
        <v>58.7</v>
      </c>
      <c r="D53" t="s">
        <v>11</v>
      </c>
      <c r="E53">
        <v>-20</v>
      </c>
      <c r="F53">
        <v>-7.9</v>
      </c>
      <c r="G53">
        <v>-30.4</v>
      </c>
      <c r="H53">
        <v>-11.5</v>
      </c>
      <c r="I53" t="s">
        <v>11</v>
      </c>
      <c r="J53" t="s">
        <v>11</v>
      </c>
      <c r="K53" t="s">
        <v>11</v>
      </c>
    </row>
    <row r="54" spans="1:11" x14ac:dyDescent="0.4">
      <c r="A54" s="3">
        <v>46075</v>
      </c>
      <c r="B54">
        <v>0.5</v>
      </c>
      <c r="C54">
        <v>59.2</v>
      </c>
      <c r="D54" t="s">
        <v>11</v>
      </c>
      <c r="E54">
        <v>-9.8000000000000007</v>
      </c>
      <c r="F54">
        <v>-2.1</v>
      </c>
      <c r="G54">
        <v>-15.8</v>
      </c>
      <c r="H54">
        <v>-9.6999999999999993</v>
      </c>
      <c r="I54" t="s">
        <v>11</v>
      </c>
      <c r="J54" t="s">
        <v>11</v>
      </c>
      <c r="K54" t="s">
        <v>11</v>
      </c>
    </row>
    <row r="55" spans="1:11" x14ac:dyDescent="0.4">
      <c r="A55" s="3">
        <v>46076</v>
      </c>
      <c r="B55">
        <v>4.4000000000000004</v>
      </c>
      <c r="C55">
        <v>63.6</v>
      </c>
      <c r="D55" t="s">
        <v>11</v>
      </c>
      <c r="E55">
        <v>-7.4</v>
      </c>
      <c r="F55">
        <v>-4.4000000000000004</v>
      </c>
      <c r="G55">
        <v>-9.9</v>
      </c>
      <c r="H55">
        <v>-8.8000000000000007</v>
      </c>
      <c r="I55" t="s">
        <v>11</v>
      </c>
      <c r="J55" t="s">
        <v>11</v>
      </c>
      <c r="K55" t="s">
        <v>11</v>
      </c>
    </row>
    <row r="56" spans="1:11" x14ac:dyDescent="0.4">
      <c r="A56" s="3">
        <v>46077</v>
      </c>
      <c r="B56">
        <v>2.5</v>
      </c>
      <c r="C56">
        <v>66.099999999999994</v>
      </c>
      <c r="D56" t="s">
        <v>11</v>
      </c>
      <c r="E56">
        <v>-11.5</v>
      </c>
      <c r="F56">
        <v>-5.0999999999999996</v>
      </c>
      <c r="G56">
        <v>-15.5</v>
      </c>
      <c r="H56">
        <v>-10.5</v>
      </c>
      <c r="I56" t="s">
        <v>11</v>
      </c>
      <c r="J56" t="s">
        <v>11</v>
      </c>
      <c r="K56" t="s">
        <v>11</v>
      </c>
    </row>
    <row r="57" spans="1:11" x14ac:dyDescent="0.4">
      <c r="A57" s="3">
        <v>46078</v>
      </c>
      <c r="B57">
        <v>4.9000000000000004</v>
      </c>
      <c r="C57">
        <v>71</v>
      </c>
      <c r="D57" t="s">
        <v>11</v>
      </c>
      <c r="E57">
        <v>-21.8</v>
      </c>
      <c r="F57">
        <v>-10.1</v>
      </c>
      <c r="G57">
        <v>-29.5</v>
      </c>
      <c r="H57">
        <v>-14.1</v>
      </c>
      <c r="I57" t="s">
        <v>11</v>
      </c>
      <c r="J57" t="s">
        <v>11</v>
      </c>
      <c r="K57" t="s">
        <v>11</v>
      </c>
    </row>
    <row r="58" spans="1:11" x14ac:dyDescent="0.4">
      <c r="A58" s="3">
        <v>46079</v>
      </c>
      <c r="B58">
        <v>0</v>
      </c>
      <c r="C58">
        <v>71</v>
      </c>
      <c r="D58" t="s">
        <v>11</v>
      </c>
      <c r="E58">
        <v>-25.6</v>
      </c>
      <c r="F58">
        <v>-12.2</v>
      </c>
      <c r="G58">
        <v>-35.4</v>
      </c>
      <c r="H58">
        <v>-15.2</v>
      </c>
      <c r="I58" t="s">
        <v>11</v>
      </c>
      <c r="J58" t="s">
        <v>11</v>
      </c>
      <c r="K58" t="s">
        <v>11</v>
      </c>
    </row>
    <row r="59" spans="1:11" x14ac:dyDescent="0.4">
      <c r="A59" s="3">
        <v>46080</v>
      </c>
      <c r="B59">
        <v>0.2</v>
      </c>
      <c r="C59">
        <v>71.2</v>
      </c>
      <c r="D59" t="s">
        <v>11</v>
      </c>
      <c r="E59">
        <v>-21.9</v>
      </c>
      <c r="F59">
        <v>-7.9</v>
      </c>
      <c r="G59">
        <v>-33.5</v>
      </c>
      <c r="H59">
        <v>-17.600000000000001</v>
      </c>
      <c r="I59" t="s">
        <v>11</v>
      </c>
      <c r="J59" t="s">
        <v>11</v>
      </c>
      <c r="K59" t="s">
        <v>11</v>
      </c>
    </row>
    <row r="60" spans="1:11" x14ac:dyDescent="0.4">
      <c r="A60" s="3">
        <v>46081</v>
      </c>
      <c r="B60">
        <v>1.1000000000000001</v>
      </c>
      <c r="C60">
        <v>72.3</v>
      </c>
      <c r="D60" t="s">
        <v>11</v>
      </c>
      <c r="E60">
        <v>-22.7</v>
      </c>
      <c r="F60">
        <v>-9.4</v>
      </c>
      <c r="G60">
        <v>-32.700000000000003</v>
      </c>
      <c r="H60">
        <v>-20.7</v>
      </c>
      <c r="I60" t="s">
        <v>11</v>
      </c>
      <c r="J60" t="s">
        <v>11</v>
      </c>
      <c r="K60" t="s">
        <v>11</v>
      </c>
    </row>
    <row r="61" spans="1:11" x14ac:dyDescent="0.4">
      <c r="A61" s="3">
        <v>46082</v>
      </c>
      <c r="B61">
        <v>2.7</v>
      </c>
      <c r="C61">
        <v>75</v>
      </c>
      <c r="D61" t="s">
        <v>11</v>
      </c>
      <c r="E61">
        <v>-17.100000000000001</v>
      </c>
      <c r="F61">
        <v>-9.4</v>
      </c>
      <c r="G61">
        <v>-21.6</v>
      </c>
      <c r="H61">
        <v>-21.8</v>
      </c>
      <c r="I61" t="s">
        <v>11</v>
      </c>
      <c r="J61" t="s">
        <v>11</v>
      </c>
      <c r="K61" t="s">
        <v>11</v>
      </c>
    </row>
    <row r="62" spans="1:11" x14ac:dyDescent="0.4">
      <c r="A62" s="3">
        <v>46083</v>
      </c>
      <c r="B62">
        <v>0</v>
      </c>
      <c r="C62">
        <v>75</v>
      </c>
      <c r="D62" t="s">
        <v>11</v>
      </c>
      <c r="E62">
        <v>-24.1</v>
      </c>
      <c r="F62">
        <v>-9.9</v>
      </c>
      <c r="G62">
        <v>-34.700000000000003</v>
      </c>
      <c r="H62">
        <v>-22.3</v>
      </c>
      <c r="I62" t="s">
        <v>11</v>
      </c>
      <c r="J62" t="s">
        <v>11</v>
      </c>
      <c r="K62" t="s">
        <v>11</v>
      </c>
    </row>
    <row r="63" spans="1:11" x14ac:dyDescent="0.4">
      <c r="A63" s="3">
        <v>46084</v>
      </c>
      <c r="B63">
        <v>0</v>
      </c>
      <c r="C63">
        <v>75</v>
      </c>
      <c r="D63" t="s">
        <v>11</v>
      </c>
      <c r="E63">
        <v>-13.3</v>
      </c>
      <c r="F63">
        <v>-4</v>
      </c>
      <c r="G63">
        <v>-20.399999999999999</v>
      </c>
      <c r="H63">
        <v>-19.8</v>
      </c>
      <c r="I63" t="s">
        <v>11</v>
      </c>
      <c r="J63" t="s">
        <v>11</v>
      </c>
      <c r="K63" t="s">
        <v>11</v>
      </c>
    </row>
    <row r="64" spans="1:11" x14ac:dyDescent="0.4">
      <c r="A64" s="3">
        <v>46085</v>
      </c>
      <c r="B64">
        <v>0.3</v>
      </c>
      <c r="C64">
        <v>75.3</v>
      </c>
      <c r="D64" t="s">
        <v>11</v>
      </c>
      <c r="E64">
        <v>-13.7</v>
      </c>
      <c r="F64">
        <v>-2.6</v>
      </c>
      <c r="G64">
        <v>-20.9</v>
      </c>
      <c r="H64">
        <v>-18.2</v>
      </c>
      <c r="I64" t="s">
        <v>11</v>
      </c>
      <c r="J64" t="s">
        <v>11</v>
      </c>
      <c r="K64" t="s">
        <v>11</v>
      </c>
    </row>
    <row r="65" spans="1:11" x14ac:dyDescent="0.4">
      <c r="A65" s="3">
        <v>46086</v>
      </c>
      <c r="B65">
        <v>1.3</v>
      </c>
      <c r="C65">
        <v>76.599999999999994</v>
      </c>
      <c r="D65" t="s">
        <v>11</v>
      </c>
      <c r="E65">
        <v>-11.1</v>
      </c>
      <c r="F65">
        <v>-0.5</v>
      </c>
      <c r="G65">
        <v>-19.7</v>
      </c>
      <c r="H65">
        <v>-15.9</v>
      </c>
      <c r="I65" t="s">
        <v>11</v>
      </c>
      <c r="J65" t="s">
        <v>11</v>
      </c>
      <c r="K65" t="s">
        <v>11</v>
      </c>
    </row>
    <row r="66" spans="1:11" x14ac:dyDescent="0.4">
      <c r="A66" s="3">
        <v>46087</v>
      </c>
      <c r="B66">
        <v>2.2000000000000002</v>
      </c>
      <c r="C66">
        <v>78.8</v>
      </c>
      <c r="D66" t="s">
        <v>11</v>
      </c>
      <c r="E66" t="s">
        <v>11</v>
      </c>
      <c r="F66" t="s">
        <v>11</v>
      </c>
      <c r="G66" t="s">
        <v>11</v>
      </c>
      <c r="H66" t="s">
        <v>11</v>
      </c>
      <c r="I66" t="s">
        <v>11</v>
      </c>
      <c r="J66" t="s">
        <v>11</v>
      </c>
      <c r="K66" t="s">
        <v>11</v>
      </c>
    </row>
    <row r="67" spans="1:11" x14ac:dyDescent="0.4">
      <c r="A67" s="3">
        <v>46088</v>
      </c>
      <c r="B67">
        <v>1.3</v>
      </c>
      <c r="C67">
        <v>80.099999999999994</v>
      </c>
      <c r="D67" t="s">
        <v>11</v>
      </c>
      <c r="E67">
        <v>-5</v>
      </c>
      <c r="F67">
        <v>3.6</v>
      </c>
      <c r="G67">
        <v>-14.3</v>
      </c>
      <c r="H67" t="s">
        <v>11</v>
      </c>
      <c r="I67" t="s">
        <v>11</v>
      </c>
      <c r="J67" t="s">
        <v>11</v>
      </c>
      <c r="K67" t="s">
        <v>11</v>
      </c>
    </row>
    <row r="68" spans="1:11" x14ac:dyDescent="0.4">
      <c r="A68" s="3">
        <v>46089</v>
      </c>
      <c r="B68">
        <v>0</v>
      </c>
      <c r="C68">
        <v>80.099999999999994</v>
      </c>
      <c r="D68" t="s">
        <v>11</v>
      </c>
      <c r="E68">
        <v>-10.199999999999999</v>
      </c>
      <c r="F68">
        <v>-0.1</v>
      </c>
      <c r="G68">
        <v>-18.899999999999999</v>
      </c>
      <c r="H68" t="s">
        <v>11</v>
      </c>
      <c r="I68" t="s">
        <v>11</v>
      </c>
      <c r="J68" t="s">
        <v>11</v>
      </c>
      <c r="K68" t="s">
        <v>11</v>
      </c>
    </row>
    <row r="69" spans="1:11" x14ac:dyDescent="0.4">
      <c r="A69" s="3">
        <v>46090</v>
      </c>
      <c r="B69">
        <v>8.9</v>
      </c>
      <c r="C69">
        <v>89</v>
      </c>
      <c r="D69" t="s">
        <v>11</v>
      </c>
      <c r="E69">
        <v>-1.3</v>
      </c>
      <c r="F69">
        <v>4.5</v>
      </c>
      <c r="G69">
        <v>-4.5</v>
      </c>
      <c r="H69" t="s">
        <v>11</v>
      </c>
      <c r="I69" t="s">
        <v>11</v>
      </c>
      <c r="J69" t="s">
        <v>11</v>
      </c>
      <c r="K69" t="s">
        <v>11</v>
      </c>
    </row>
    <row r="70" spans="1:11" x14ac:dyDescent="0.4">
      <c r="A70" s="3">
        <v>46091</v>
      </c>
      <c r="B70">
        <v>1.3</v>
      </c>
      <c r="C70">
        <v>90.3</v>
      </c>
      <c r="D70" t="s">
        <v>11</v>
      </c>
      <c r="E70">
        <v>-1.8</v>
      </c>
      <c r="F70">
        <v>6</v>
      </c>
      <c r="G70">
        <v>-7</v>
      </c>
      <c r="H70" t="s">
        <v>11</v>
      </c>
      <c r="I70" t="s">
        <v>11</v>
      </c>
      <c r="J70" t="s">
        <v>11</v>
      </c>
      <c r="K70" t="s">
        <v>11</v>
      </c>
    </row>
    <row r="71" spans="1:11" x14ac:dyDescent="0.4">
      <c r="A71" s="3">
        <v>46092</v>
      </c>
      <c r="B71">
        <v>3.8</v>
      </c>
      <c r="C71">
        <v>94.1</v>
      </c>
      <c r="D71" t="s">
        <v>11</v>
      </c>
      <c r="E71">
        <v>-4.5999999999999996</v>
      </c>
      <c r="F71">
        <v>2.1</v>
      </c>
      <c r="G71">
        <v>-10.9</v>
      </c>
      <c r="H71">
        <v>-4.5999999999999996</v>
      </c>
      <c r="I71" t="s">
        <v>11</v>
      </c>
      <c r="J71" t="s">
        <v>11</v>
      </c>
      <c r="K71" t="s">
        <v>11</v>
      </c>
    </row>
    <row r="72" spans="1:11" x14ac:dyDescent="0.4">
      <c r="A72" s="3">
        <v>46093</v>
      </c>
      <c r="B72">
        <v>0</v>
      </c>
      <c r="C72">
        <v>94.1</v>
      </c>
      <c r="D72" t="s">
        <v>11</v>
      </c>
      <c r="E72">
        <v>-18.3</v>
      </c>
      <c r="F72">
        <v>-6.9</v>
      </c>
      <c r="G72">
        <v>-28.3</v>
      </c>
      <c r="H72">
        <v>-7.2</v>
      </c>
      <c r="I72" t="s">
        <v>11</v>
      </c>
      <c r="J72" t="s">
        <v>11</v>
      </c>
      <c r="K72" t="s">
        <v>11</v>
      </c>
    </row>
    <row r="73" spans="1:11" x14ac:dyDescent="0.4">
      <c r="A73" s="3">
        <v>46094</v>
      </c>
      <c r="B73">
        <v>0</v>
      </c>
      <c r="C73">
        <v>94.1</v>
      </c>
      <c r="D73" t="s">
        <v>11</v>
      </c>
      <c r="E73">
        <v>-16</v>
      </c>
      <c r="F73">
        <v>-2</v>
      </c>
      <c r="G73">
        <v>-25.1</v>
      </c>
      <c r="H73">
        <v>-8.4</v>
      </c>
      <c r="I73" t="s">
        <v>11</v>
      </c>
      <c r="J73" t="s">
        <v>11</v>
      </c>
      <c r="K73" t="s">
        <v>11</v>
      </c>
    </row>
    <row r="74" spans="1:11" x14ac:dyDescent="0.4">
      <c r="A74" s="3">
        <v>46095</v>
      </c>
      <c r="B74">
        <v>0</v>
      </c>
      <c r="C74">
        <v>94.1</v>
      </c>
      <c r="D74" t="s">
        <v>11</v>
      </c>
      <c r="E74">
        <v>-12</v>
      </c>
      <c r="F74">
        <v>2.2000000000000002</v>
      </c>
      <c r="G74">
        <v>-22.3</v>
      </c>
      <c r="H74">
        <v>-10.5</v>
      </c>
      <c r="I74" t="s">
        <v>11</v>
      </c>
      <c r="J74" t="s">
        <v>11</v>
      </c>
      <c r="K74" t="s">
        <v>11</v>
      </c>
    </row>
    <row r="75" spans="1:11" x14ac:dyDescent="0.4">
      <c r="A75" s="3">
        <v>46096</v>
      </c>
      <c r="B75">
        <v>0</v>
      </c>
      <c r="C75">
        <v>94.1</v>
      </c>
      <c r="D75" t="s">
        <v>11</v>
      </c>
      <c r="E75">
        <v>-10.3</v>
      </c>
      <c r="F75">
        <v>4.3</v>
      </c>
      <c r="G75">
        <v>-21.1</v>
      </c>
      <c r="H75">
        <v>-12.2</v>
      </c>
      <c r="I75" t="s">
        <v>11</v>
      </c>
      <c r="J75" t="s">
        <v>11</v>
      </c>
      <c r="K75" t="s">
        <v>11</v>
      </c>
    </row>
    <row r="76" spans="1:11" x14ac:dyDescent="0.4">
      <c r="A76" s="3">
        <v>46097</v>
      </c>
      <c r="B76">
        <v>0</v>
      </c>
      <c r="C76">
        <v>94.1</v>
      </c>
      <c r="D76" t="s">
        <v>11</v>
      </c>
      <c r="E76">
        <v>-9.5</v>
      </c>
      <c r="F76">
        <v>3.9</v>
      </c>
      <c r="G76">
        <v>-20</v>
      </c>
      <c r="H76">
        <v>-13.2</v>
      </c>
      <c r="I76" t="s">
        <v>11</v>
      </c>
      <c r="J76" t="s">
        <v>11</v>
      </c>
      <c r="K76" t="s">
        <v>11</v>
      </c>
    </row>
    <row r="77" spans="1:11" x14ac:dyDescent="0.4">
      <c r="A77" s="3">
        <v>46098</v>
      </c>
      <c r="B77">
        <v>0</v>
      </c>
      <c r="C77">
        <v>94.1</v>
      </c>
      <c r="D77" t="s">
        <v>11</v>
      </c>
      <c r="E77">
        <v>-8</v>
      </c>
      <c r="F77">
        <v>6.8</v>
      </c>
      <c r="G77">
        <v>-19.100000000000001</v>
      </c>
      <c r="H77">
        <v>-11.2</v>
      </c>
      <c r="I77" t="s">
        <v>11</v>
      </c>
      <c r="J77" t="s">
        <v>11</v>
      </c>
      <c r="K77" t="s">
        <v>11</v>
      </c>
    </row>
    <row r="78" spans="1:11" x14ac:dyDescent="0.4">
      <c r="A78" s="3">
        <v>46099</v>
      </c>
      <c r="B78">
        <v>0</v>
      </c>
      <c r="C78">
        <v>94.1</v>
      </c>
      <c r="D78" t="s">
        <v>11</v>
      </c>
      <c r="E78">
        <v>-7.3</v>
      </c>
      <c r="F78">
        <v>8.3000000000000007</v>
      </c>
      <c r="G78">
        <v>-18.100000000000001</v>
      </c>
      <c r="H78">
        <v>-9.4</v>
      </c>
      <c r="I78" t="s">
        <v>11</v>
      </c>
      <c r="J78" t="s">
        <v>11</v>
      </c>
      <c r="K78" t="s">
        <v>11</v>
      </c>
    </row>
    <row r="79" spans="1:11" x14ac:dyDescent="0.4">
      <c r="A79" s="3">
        <v>46100</v>
      </c>
      <c r="B79">
        <v>0</v>
      </c>
      <c r="C79">
        <v>94.1</v>
      </c>
      <c r="D79" t="s">
        <v>11</v>
      </c>
      <c r="E79">
        <v>-5.9</v>
      </c>
      <c r="F79">
        <v>6.8</v>
      </c>
      <c r="G79">
        <v>-16.2</v>
      </c>
      <c r="H79">
        <v>-8.1999999999999993</v>
      </c>
      <c r="I79" t="s">
        <v>11</v>
      </c>
      <c r="J79" t="s">
        <v>11</v>
      </c>
      <c r="K79" t="s">
        <v>11</v>
      </c>
    </row>
    <row r="80" spans="1:11" x14ac:dyDescent="0.4">
      <c r="A80" s="3">
        <v>46101</v>
      </c>
      <c r="B80">
        <v>0.1</v>
      </c>
      <c r="C80">
        <v>94.2</v>
      </c>
      <c r="D80" t="s">
        <v>11</v>
      </c>
      <c r="E80">
        <v>-6.1</v>
      </c>
      <c r="F80">
        <v>5.5</v>
      </c>
      <c r="G80">
        <v>-14.9</v>
      </c>
      <c r="H80">
        <v>-7.4</v>
      </c>
      <c r="I80" t="s">
        <v>11</v>
      </c>
      <c r="J80" t="s">
        <v>11</v>
      </c>
      <c r="K80" t="s">
        <v>11</v>
      </c>
    </row>
    <row r="81" spans="1:11" x14ac:dyDescent="0.4">
      <c r="A81" s="3">
        <v>46102</v>
      </c>
      <c r="B81">
        <v>0</v>
      </c>
      <c r="C81">
        <v>94.2</v>
      </c>
      <c r="D81" t="s">
        <v>11</v>
      </c>
      <c r="E81">
        <v>-6.6</v>
      </c>
      <c r="F81">
        <v>6.7</v>
      </c>
      <c r="G81">
        <v>-16.5</v>
      </c>
      <c r="H81">
        <v>-6.8</v>
      </c>
      <c r="I81" t="s">
        <v>11</v>
      </c>
      <c r="J81" t="s">
        <v>11</v>
      </c>
      <c r="K81" t="s">
        <v>11</v>
      </c>
    </row>
    <row r="82" spans="1:11" x14ac:dyDescent="0.4">
      <c r="A82" s="3">
        <v>46103</v>
      </c>
      <c r="B82">
        <v>0</v>
      </c>
      <c r="C82">
        <v>94.2</v>
      </c>
      <c r="D82" t="s">
        <v>11</v>
      </c>
      <c r="E82">
        <v>-4.3</v>
      </c>
      <c r="F82">
        <v>10.5</v>
      </c>
      <c r="G82">
        <v>-15</v>
      </c>
      <c r="H82">
        <v>-6</v>
      </c>
      <c r="I82" t="s">
        <v>11</v>
      </c>
      <c r="J82" t="s">
        <v>11</v>
      </c>
      <c r="K82" t="s">
        <v>11</v>
      </c>
    </row>
    <row r="83" spans="1:11" x14ac:dyDescent="0.4">
      <c r="A83" s="3">
        <v>46104</v>
      </c>
      <c r="B83">
        <v>0</v>
      </c>
      <c r="C83">
        <v>94.2</v>
      </c>
      <c r="D83" t="s">
        <v>11</v>
      </c>
      <c r="E83">
        <v>-1.9</v>
      </c>
      <c r="F83">
        <v>10.4</v>
      </c>
      <c r="G83">
        <v>-10.5</v>
      </c>
      <c r="H83">
        <v>-5</v>
      </c>
      <c r="I83" t="s">
        <v>11</v>
      </c>
      <c r="J83" t="s">
        <v>11</v>
      </c>
      <c r="K83" t="s">
        <v>11</v>
      </c>
    </row>
    <row r="84" spans="1:11" x14ac:dyDescent="0.4">
      <c r="A84" s="3">
        <v>46105</v>
      </c>
      <c r="B84">
        <v>6.4</v>
      </c>
      <c r="C84">
        <v>100.6</v>
      </c>
      <c r="D84" t="s">
        <v>11</v>
      </c>
      <c r="E84">
        <v>-1.6</v>
      </c>
      <c r="F84">
        <v>4.5999999999999996</v>
      </c>
      <c r="G84">
        <v>-6.5</v>
      </c>
      <c r="H84">
        <v>-4.0999999999999996</v>
      </c>
      <c r="I84" t="s">
        <v>11</v>
      </c>
      <c r="J84" t="s">
        <v>11</v>
      </c>
      <c r="K84" t="s">
        <v>11</v>
      </c>
    </row>
    <row r="85" spans="1:11" x14ac:dyDescent="0.4">
      <c r="A85" s="3">
        <v>46106</v>
      </c>
      <c r="B85">
        <v>0.1</v>
      </c>
      <c r="C85">
        <v>100.7</v>
      </c>
      <c r="D85" t="s">
        <v>11</v>
      </c>
      <c r="E85">
        <v>-4.2</v>
      </c>
      <c r="F85">
        <v>6.1</v>
      </c>
      <c r="G85">
        <v>-13.5</v>
      </c>
      <c r="H85">
        <v>-3.7</v>
      </c>
      <c r="I85" t="s">
        <v>11</v>
      </c>
      <c r="J85" t="s">
        <v>11</v>
      </c>
      <c r="K85" t="s">
        <v>11</v>
      </c>
    </row>
    <row r="86" spans="1:11" x14ac:dyDescent="0.4">
      <c r="A86" s="3">
        <v>46107</v>
      </c>
      <c r="B86">
        <v>0</v>
      </c>
      <c r="C86">
        <v>100.7</v>
      </c>
      <c r="D86" t="s">
        <v>11</v>
      </c>
      <c r="E86">
        <v>-4.5</v>
      </c>
      <c r="F86">
        <v>9.6</v>
      </c>
      <c r="G86">
        <v>-14.9</v>
      </c>
      <c r="H86">
        <v>-3.3</v>
      </c>
      <c r="I86" t="s">
        <v>11</v>
      </c>
      <c r="J86" t="s">
        <v>11</v>
      </c>
      <c r="K86" t="s">
        <v>11</v>
      </c>
    </row>
    <row r="87" spans="1:11" x14ac:dyDescent="0.4">
      <c r="A87" s="3">
        <v>46108</v>
      </c>
      <c r="B87">
        <v>0</v>
      </c>
      <c r="C87">
        <v>100.7</v>
      </c>
      <c r="D87" t="s">
        <v>11</v>
      </c>
      <c r="E87">
        <v>-2.8</v>
      </c>
      <c r="F87">
        <v>9.1</v>
      </c>
      <c r="G87">
        <v>-12.9</v>
      </c>
      <c r="H87">
        <v>-3</v>
      </c>
      <c r="I87" t="s">
        <v>11</v>
      </c>
      <c r="J87" t="s">
        <v>11</v>
      </c>
      <c r="K87" t="s">
        <v>11</v>
      </c>
    </row>
    <row r="88" spans="1:11" x14ac:dyDescent="0.4">
      <c r="A88" s="3">
        <v>46109</v>
      </c>
      <c r="B88">
        <v>0.1</v>
      </c>
      <c r="C88">
        <v>100.8</v>
      </c>
      <c r="D88" t="s">
        <v>11</v>
      </c>
      <c r="E88">
        <v>0.1</v>
      </c>
      <c r="F88">
        <v>14.4</v>
      </c>
      <c r="G88">
        <v>-9.9</v>
      </c>
      <c r="H88">
        <v>-2.6</v>
      </c>
      <c r="I88" t="s">
        <v>11</v>
      </c>
      <c r="J88" t="s">
        <v>11</v>
      </c>
      <c r="K88" t="s">
        <v>11</v>
      </c>
    </row>
    <row r="89" spans="1:11" x14ac:dyDescent="0.4">
      <c r="A89" s="3">
        <v>46110</v>
      </c>
      <c r="B89">
        <v>0</v>
      </c>
      <c r="C89">
        <v>100.8</v>
      </c>
      <c r="D89" t="s">
        <v>11</v>
      </c>
      <c r="E89">
        <v>-0.5</v>
      </c>
      <c r="F89">
        <v>12.2</v>
      </c>
      <c r="G89">
        <v>-10</v>
      </c>
      <c r="H89">
        <v>-2.4</v>
      </c>
      <c r="I89" t="s">
        <v>11</v>
      </c>
      <c r="J89" t="s">
        <v>11</v>
      </c>
      <c r="K89" t="s">
        <v>11</v>
      </c>
    </row>
    <row r="90" spans="1:11" x14ac:dyDescent="0.4">
      <c r="A90" s="3">
        <v>46111</v>
      </c>
      <c r="B90">
        <v>0.1</v>
      </c>
      <c r="C90">
        <v>100.9</v>
      </c>
      <c r="D90" t="s">
        <v>11</v>
      </c>
      <c r="E90">
        <v>0.5</v>
      </c>
      <c r="F90">
        <v>12.8</v>
      </c>
      <c r="G90">
        <v>-7.5</v>
      </c>
      <c r="H90">
        <v>-1.4</v>
      </c>
      <c r="I90" t="s">
        <v>11</v>
      </c>
      <c r="J90" t="s">
        <v>11</v>
      </c>
      <c r="K90" t="s">
        <v>11</v>
      </c>
    </row>
    <row r="91" spans="1:11" x14ac:dyDescent="0.4">
      <c r="A91" s="3">
        <v>46112</v>
      </c>
      <c r="B91">
        <v>0</v>
      </c>
      <c r="C91">
        <v>100.9</v>
      </c>
      <c r="D91" t="s">
        <v>11</v>
      </c>
      <c r="E91">
        <v>0.7</v>
      </c>
      <c r="F91">
        <v>13.5</v>
      </c>
      <c r="G91">
        <v>-8.5</v>
      </c>
      <c r="H91">
        <v>-0.4</v>
      </c>
      <c r="I91" t="s">
        <v>11</v>
      </c>
      <c r="J91" t="s">
        <v>11</v>
      </c>
      <c r="K91" t="s">
        <v>11</v>
      </c>
    </row>
    <row r="92" spans="1:11" x14ac:dyDescent="0.4">
      <c r="A92" s="3">
        <v>46113</v>
      </c>
      <c r="B92">
        <v>0</v>
      </c>
      <c r="C92">
        <v>100.9</v>
      </c>
      <c r="D92" t="s">
        <v>11</v>
      </c>
      <c r="E92" t="s">
        <v>11</v>
      </c>
      <c r="F92">
        <v>13.7</v>
      </c>
      <c r="G92">
        <v>-8.1</v>
      </c>
      <c r="H92" t="s">
        <v>11</v>
      </c>
      <c r="I92" t="s">
        <v>11</v>
      </c>
      <c r="J92" t="s">
        <v>11</v>
      </c>
      <c r="K92" t="s">
        <v>11</v>
      </c>
    </row>
    <row r="93" spans="1:11" x14ac:dyDescent="0.4">
      <c r="A93" s="3">
        <v>46114</v>
      </c>
      <c r="B93">
        <v>0</v>
      </c>
      <c r="C93">
        <v>100.9</v>
      </c>
      <c r="D93" t="s">
        <v>11</v>
      </c>
      <c r="E93">
        <v>2.6</v>
      </c>
      <c r="F93">
        <v>14.6</v>
      </c>
      <c r="G93">
        <v>-5.8</v>
      </c>
      <c r="H93" t="s">
        <v>11</v>
      </c>
      <c r="I93" t="s">
        <v>11</v>
      </c>
      <c r="J93" t="s">
        <v>11</v>
      </c>
      <c r="K93" t="s">
        <v>11</v>
      </c>
    </row>
    <row r="94" spans="1:11" x14ac:dyDescent="0.4">
      <c r="A94" s="3">
        <v>46115</v>
      </c>
      <c r="B94">
        <v>0</v>
      </c>
      <c r="C94">
        <v>100.9</v>
      </c>
      <c r="D94" t="s">
        <v>11</v>
      </c>
      <c r="E94">
        <v>1.5</v>
      </c>
      <c r="F94">
        <v>14.9</v>
      </c>
      <c r="G94">
        <v>-8</v>
      </c>
      <c r="H94" t="s">
        <v>11</v>
      </c>
      <c r="I94" t="s">
        <v>11</v>
      </c>
      <c r="J94" t="s">
        <v>11</v>
      </c>
      <c r="K94" t="s">
        <v>11</v>
      </c>
    </row>
    <row r="95" spans="1:11" x14ac:dyDescent="0.4">
      <c r="A95" s="3">
        <v>46116</v>
      </c>
      <c r="B95">
        <v>0</v>
      </c>
      <c r="C95">
        <v>100.9</v>
      </c>
      <c r="D95" t="s">
        <v>11</v>
      </c>
      <c r="E95">
        <v>2</v>
      </c>
      <c r="F95">
        <v>16.3</v>
      </c>
      <c r="G95">
        <v>-8.3000000000000007</v>
      </c>
      <c r="H95" t="s">
        <v>11</v>
      </c>
      <c r="I95" t="s">
        <v>11</v>
      </c>
      <c r="J95" t="s">
        <v>11</v>
      </c>
      <c r="K95" t="s">
        <v>11</v>
      </c>
    </row>
    <row r="96" spans="1:11" x14ac:dyDescent="0.4">
      <c r="A96" s="3">
        <v>46117</v>
      </c>
      <c r="B96">
        <v>0</v>
      </c>
      <c r="C96">
        <v>100.9</v>
      </c>
      <c r="D96" t="s">
        <v>11</v>
      </c>
      <c r="E96">
        <v>2.5</v>
      </c>
      <c r="F96">
        <v>17.399999999999999</v>
      </c>
      <c r="G96">
        <v>-7.8</v>
      </c>
      <c r="H96" t="s">
        <v>11</v>
      </c>
      <c r="I96" t="s">
        <v>11</v>
      </c>
      <c r="J96" t="s">
        <v>11</v>
      </c>
      <c r="K96" t="s">
        <v>11</v>
      </c>
    </row>
    <row r="97" spans="1:11" x14ac:dyDescent="0.4">
      <c r="A97" s="3">
        <v>46118</v>
      </c>
      <c r="B97">
        <v>0</v>
      </c>
      <c r="C97">
        <v>100.9</v>
      </c>
      <c r="D97" t="s">
        <v>11</v>
      </c>
      <c r="E97">
        <v>2.7</v>
      </c>
      <c r="F97">
        <v>16.2</v>
      </c>
      <c r="G97">
        <v>-5.9</v>
      </c>
      <c r="H97">
        <v>2.2999999999999998</v>
      </c>
      <c r="I97" t="s">
        <v>11</v>
      </c>
      <c r="J97" t="s">
        <v>11</v>
      </c>
      <c r="K97" t="s">
        <v>11</v>
      </c>
    </row>
    <row r="98" spans="1:11" x14ac:dyDescent="0.4">
      <c r="A98" s="3">
        <v>46119</v>
      </c>
      <c r="B98">
        <v>3.8</v>
      </c>
      <c r="C98">
        <v>104.7</v>
      </c>
      <c r="D98" t="s">
        <v>11</v>
      </c>
      <c r="E98">
        <v>7.3</v>
      </c>
      <c r="F98">
        <v>15.4</v>
      </c>
      <c r="G98">
        <v>1.5</v>
      </c>
      <c r="H98">
        <v>3.2</v>
      </c>
      <c r="I98" t="s">
        <v>11</v>
      </c>
      <c r="J98" t="s">
        <v>11</v>
      </c>
      <c r="K98" t="s">
        <v>11</v>
      </c>
    </row>
    <row r="99" spans="1:11" x14ac:dyDescent="0.4">
      <c r="A99" s="3">
        <v>46120</v>
      </c>
      <c r="B99">
        <v>0</v>
      </c>
      <c r="C99">
        <v>104.7</v>
      </c>
      <c r="D99" t="s">
        <v>11</v>
      </c>
      <c r="E99">
        <v>3.8</v>
      </c>
      <c r="F99">
        <v>17.2</v>
      </c>
      <c r="G99">
        <v>-5.6</v>
      </c>
      <c r="H99">
        <v>3.7</v>
      </c>
      <c r="I99" t="s">
        <v>11</v>
      </c>
      <c r="J99" t="s">
        <v>11</v>
      </c>
      <c r="K99" t="s">
        <v>11</v>
      </c>
    </row>
    <row r="100" spans="1:11" x14ac:dyDescent="0.4">
      <c r="A100" s="3">
        <v>46121</v>
      </c>
      <c r="B100">
        <v>0</v>
      </c>
      <c r="C100">
        <v>104.7</v>
      </c>
      <c r="D100" t="s">
        <v>11</v>
      </c>
      <c r="E100">
        <v>5.4</v>
      </c>
      <c r="F100">
        <v>19.8</v>
      </c>
      <c r="G100">
        <v>-4.5</v>
      </c>
      <c r="H100">
        <v>4.3</v>
      </c>
      <c r="I100" t="s">
        <v>11</v>
      </c>
      <c r="J100" t="s">
        <v>11</v>
      </c>
      <c r="K100" t="s">
        <v>11</v>
      </c>
    </row>
    <row r="101" spans="1:11" x14ac:dyDescent="0.4">
      <c r="A101" s="3">
        <v>46122</v>
      </c>
      <c r="B101">
        <v>0</v>
      </c>
      <c r="C101">
        <v>104.7</v>
      </c>
      <c r="D101" t="s">
        <v>11</v>
      </c>
      <c r="E101">
        <v>4.2</v>
      </c>
      <c r="F101">
        <v>13.8</v>
      </c>
      <c r="G101">
        <v>-2.9</v>
      </c>
      <c r="H101">
        <v>4.7</v>
      </c>
      <c r="I101" t="s">
        <v>11</v>
      </c>
      <c r="J101" t="s">
        <v>11</v>
      </c>
      <c r="K101" t="s">
        <v>11</v>
      </c>
    </row>
    <row r="102" spans="1:11" x14ac:dyDescent="0.4">
      <c r="A102" s="3">
        <v>46123</v>
      </c>
      <c r="B102">
        <v>0</v>
      </c>
      <c r="C102">
        <v>104.7</v>
      </c>
      <c r="D102" t="s">
        <v>11</v>
      </c>
      <c r="E102">
        <v>6.5</v>
      </c>
      <c r="F102">
        <v>15.9</v>
      </c>
      <c r="G102">
        <v>-1.6</v>
      </c>
      <c r="H102">
        <v>5.4</v>
      </c>
      <c r="I102" t="s">
        <v>11</v>
      </c>
      <c r="J102" t="s">
        <v>11</v>
      </c>
      <c r="K102" t="s">
        <v>11</v>
      </c>
    </row>
    <row r="103" spans="1:11" x14ac:dyDescent="0.4">
      <c r="A103" s="3">
        <v>46124</v>
      </c>
      <c r="B103">
        <v>0</v>
      </c>
      <c r="C103">
        <v>104.7</v>
      </c>
      <c r="D103" t="s">
        <v>11</v>
      </c>
      <c r="E103" t="s">
        <v>11</v>
      </c>
      <c r="F103">
        <v>14.1</v>
      </c>
      <c r="G103">
        <v>-3.5</v>
      </c>
      <c r="H103" t="s">
        <v>11</v>
      </c>
      <c r="I103" t="s">
        <v>11</v>
      </c>
      <c r="J103" t="s">
        <v>11</v>
      </c>
      <c r="K103" t="s">
        <v>11</v>
      </c>
    </row>
    <row r="104" spans="1:11" x14ac:dyDescent="0.4">
      <c r="A104" s="3">
        <v>46125</v>
      </c>
      <c r="B104">
        <v>0</v>
      </c>
      <c r="C104">
        <v>104.7</v>
      </c>
      <c r="D104" t="s">
        <v>11</v>
      </c>
      <c r="E104">
        <v>3.9</v>
      </c>
      <c r="F104">
        <v>14.7</v>
      </c>
      <c r="G104">
        <v>-5</v>
      </c>
      <c r="H104" t="s">
        <v>11</v>
      </c>
      <c r="I104" t="s">
        <v>11</v>
      </c>
      <c r="J104" t="s">
        <v>11</v>
      </c>
      <c r="K104" t="s">
        <v>11</v>
      </c>
    </row>
    <row r="105" spans="1:11" x14ac:dyDescent="0.4">
      <c r="A105" s="3">
        <v>46126</v>
      </c>
      <c r="B105">
        <v>10.4</v>
      </c>
      <c r="C105">
        <v>115.1</v>
      </c>
      <c r="D105" t="s">
        <v>11</v>
      </c>
      <c r="E105">
        <v>4.7</v>
      </c>
      <c r="F105">
        <v>10.6</v>
      </c>
      <c r="G105">
        <v>0.4</v>
      </c>
      <c r="H105" t="s">
        <v>11</v>
      </c>
      <c r="I105" t="s">
        <v>11</v>
      </c>
      <c r="J105" t="s">
        <v>11</v>
      </c>
      <c r="K105" t="s">
        <v>11</v>
      </c>
    </row>
    <row r="106" spans="1:11" x14ac:dyDescent="0.4">
      <c r="A106" s="3">
        <v>46127</v>
      </c>
      <c r="B106">
        <v>0</v>
      </c>
      <c r="C106">
        <v>115.1</v>
      </c>
      <c r="D106" t="s">
        <v>11</v>
      </c>
      <c r="E106">
        <v>0.3</v>
      </c>
      <c r="F106">
        <v>7.8</v>
      </c>
      <c r="G106">
        <v>-6.3</v>
      </c>
      <c r="H106" t="s">
        <v>11</v>
      </c>
      <c r="I106" t="s">
        <v>11</v>
      </c>
      <c r="J106" t="s">
        <v>11</v>
      </c>
      <c r="K106" t="s">
        <v>11</v>
      </c>
    </row>
    <row r="107" spans="1:11" x14ac:dyDescent="0.4">
      <c r="A107" s="3">
        <v>46128</v>
      </c>
      <c r="B107">
        <v>8.3000000000000007</v>
      </c>
      <c r="C107">
        <v>123.4</v>
      </c>
      <c r="D107" t="s">
        <v>11</v>
      </c>
      <c r="E107">
        <v>0.5</v>
      </c>
      <c r="F107">
        <v>2.9</v>
      </c>
      <c r="G107">
        <v>-0.3</v>
      </c>
      <c r="H107" t="s">
        <v>11</v>
      </c>
      <c r="I107" t="s">
        <v>11</v>
      </c>
      <c r="J107" t="s">
        <v>11</v>
      </c>
      <c r="K107" t="s">
        <v>11</v>
      </c>
    </row>
    <row r="108" spans="1:11" x14ac:dyDescent="0.4">
      <c r="A108" s="3">
        <v>46129</v>
      </c>
      <c r="B108">
        <v>14.3</v>
      </c>
      <c r="C108">
        <v>137.69999999999999</v>
      </c>
      <c r="D108" t="s">
        <v>11</v>
      </c>
      <c r="E108">
        <v>2.5</v>
      </c>
      <c r="F108">
        <v>6</v>
      </c>
      <c r="G108">
        <v>0.2</v>
      </c>
      <c r="H108">
        <v>2.4</v>
      </c>
      <c r="I108" t="s">
        <v>11</v>
      </c>
      <c r="J108" t="s">
        <v>11</v>
      </c>
      <c r="K108" t="s">
        <v>11</v>
      </c>
    </row>
    <row r="109" spans="1:11" x14ac:dyDescent="0.4">
      <c r="A109" s="3">
        <v>46130</v>
      </c>
      <c r="B109">
        <v>0.1</v>
      </c>
      <c r="C109">
        <v>137.80000000000001</v>
      </c>
      <c r="D109" t="s">
        <v>11</v>
      </c>
      <c r="E109">
        <v>2</v>
      </c>
      <c r="F109">
        <v>7</v>
      </c>
      <c r="G109">
        <v>-3.7</v>
      </c>
      <c r="H109">
        <v>2</v>
      </c>
      <c r="I109" t="s">
        <v>11</v>
      </c>
      <c r="J109" t="s">
        <v>11</v>
      </c>
      <c r="K109" t="s">
        <v>11</v>
      </c>
    </row>
    <row r="110" spans="1:11" x14ac:dyDescent="0.4">
      <c r="A110" s="3">
        <v>46131</v>
      </c>
      <c r="B110">
        <v>0</v>
      </c>
      <c r="C110">
        <v>137.80000000000001</v>
      </c>
      <c r="D110" t="s">
        <v>11</v>
      </c>
      <c r="E110">
        <v>2.2000000000000002</v>
      </c>
      <c r="F110">
        <v>13.9</v>
      </c>
      <c r="G110">
        <v>-8.1</v>
      </c>
      <c r="H110">
        <v>1.5</v>
      </c>
      <c r="I110" t="s">
        <v>11</v>
      </c>
      <c r="J110" t="s">
        <v>11</v>
      </c>
      <c r="K110" t="s">
        <v>11</v>
      </c>
    </row>
    <row r="111" spans="1:11" x14ac:dyDescent="0.4">
      <c r="A111" s="3">
        <v>46132</v>
      </c>
      <c r="B111">
        <v>0</v>
      </c>
      <c r="C111">
        <v>137.80000000000001</v>
      </c>
      <c r="D111" t="s">
        <v>11</v>
      </c>
      <c r="E111">
        <v>3.5</v>
      </c>
      <c r="F111">
        <v>15.3</v>
      </c>
      <c r="G111">
        <v>-6.3</v>
      </c>
      <c r="H111">
        <v>2.1</v>
      </c>
      <c r="I111" t="s">
        <v>11</v>
      </c>
      <c r="J111" t="s">
        <v>11</v>
      </c>
      <c r="K111" t="s">
        <v>11</v>
      </c>
    </row>
    <row r="112" spans="1:11" x14ac:dyDescent="0.4">
      <c r="A112" s="3">
        <v>46133</v>
      </c>
      <c r="B112">
        <v>0</v>
      </c>
      <c r="C112">
        <v>137.80000000000001</v>
      </c>
      <c r="D112" t="s">
        <v>11</v>
      </c>
      <c r="E112">
        <v>5.3</v>
      </c>
      <c r="F112">
        <v>17.100000000000001</v>
      </c>
      <c r="G112">
        <v>-5.9</v>
      </c>
      <c r="H112">
        <v>3.1</v>
      </c>
      <c r="I112" t="s">
        <v>11</v>
      </c>
      <c r="J112" t="s">
        <v>11</v>
      </c>
      <c r="K112" t="s">
        <v>11</v>
      </c>
    </row>
    <row r="113" spans="1:11" x14ac:dyDescent="0.4">
      <c r="A113" s="3">
        <v>46134</v>
      </c>
      <c r="B113">
        <v>0</v>
      </c>
      <c r="C113">
        <v>137.80000000000001</v>
      </c>
      <c r="D113" t="s">
        <v>11</v>
      </c>
      <c r="E113">
        <v>7</v>
      </c>
      <c r="F113">
        <v>18.600000000000001</v>
      </c>
      <c r="G113">
        <v>-2.5</v>
      </c>
      <c r="H113">
        <v>4</v>
      </c>
      <c r="I113" t="s">
        <v>11</v>
      </c>
      <c r="J113" t="s">
        <v>11</v>
      </c>
      <c r="K113" t="s">
        <v>11</v>
      </c>
    </row>
    <row r="114" spans="1:11" x14ac:dyDescent="0.4">
      <c r="A114" s="3">
        <v>46135</v>
      </c>
      <c r="B114">
        <v>0</v>
      </c>
      <c r="C114">
        <v>137.80000000000001</v>
      </c>
      <c r="D114" t="s">
        <v>11</v>
      </c>
      <c r="E114">
        <v>8.4</v>
      </c>
      <c r="F114">
        <v>21</v>
      </c>
      <c r="G114">
        <v>-2.9</v>
      </c>
      <c r="H114">
        <v>5.3</v>
      </c>
      <c r="I114" t="s">
        <v>11</v>
      </c>
      <c r="J114" t="s">
        <v>11</v>
      </c>
      <c r="K114" t="s">
        <v>11</v>
      </c>
    </row>
    <row r="115" spans="1:11" x14ac:dyDescent="0.4">
      <c r="A115" s="3">
        <v>46136</v>
      </c>
      <c r="B115">
        <v>0.3</v>
      </c>
      <c r="C115">
        <v>138.1</v>
      </c>
      <c r="D115" t="s">
        <v>11</v>
      </c>
      <c r="E115">
        <v>11.9</v>
      </c>
      <c r="F115">
        <v>20.399999999999999</v>
      </c>
      <c r="G115">
        <v>5.3</v>
      </c>
      <c r="H115">
        <v>7.2</v>
      </c>
      <c r="I115" t="s">
        <v>11</v>
      </c>
      <c r="J115" t="s">
        <v>11</v>
      </c>
      <c r="K115" t="s">
        <v>11</v>
      </c>
    </row>
    <row r="116" spans="1:11" x14ac:dyDescent="0.4">
      <c r="A116" s="3">
        <v>46137</v>
      </c>
      <c r="B116">
        <v>0</v>
      </c>
      <c r="C116">
        <v>138.1</v>
      </c>
      <c r="D116" t="s">
        <v>11</v>
      </c>
      <c r="E116">
        <v>10.9</v>
      </c>
      <c r="F116">
        <v>22.4</v>
      </c>
      <c r="G116">
        <v>-1.3</v>
      </c>
      <c r="H116">
        <v>8.6999999999999993</v>
      </c>
      <c r="I116" t="s">
        <v>11</v>
      </c>
      <c r="J116" t="s">
        <v>11</v>
      </c>
      <c r="K116" t="s">
        <v>11</v>
      </c>
    </row>
    <row r="117" spans="1:11" x14ac:dyDescent="0.4">
      <c r="A117" s="3">
        <v>46138</v>
      </c>
      <c r="B117">
        <v>0</v>
      </c>
      <c r="C117">
        <v>138.1</v>
      </c>
      <c r="D117" t="s">
        <v>11</v>
      </c>
      <c r="E117">
        <v>11.2</v>
      </c>
      <c r="F117">
        <v>21.2</v>
      </c>
      <c r="G117">
        <v>0.5</v>
      </c>
      <c r="H117">
        <v>9.9</v>
      </c>
      <c r="I117" t="s">
        <v>11</v>
      </c>
      <c r="J117" t="s">
        <v>11</v>
      </c>
      <c r="K117" t="s">
        <v>11</v>
      </c>
    </row>
    <row r="118" spans="1:11" x14ac:dyDescent="0.4">
      <c r="A118" s="3">
        <v>46139</v>
      </c>
      <c r="B118">
        <v>0</v>
      </c>
      <c r="C118">
        <v>138.1</v>
      </c>
      <c r="D118" t="s">
        <v>11</v>
      </c>
      <c r="E118">
        <v>11.3</v>
      </c>
      <c r="F118">
        <v>23.9</v>
      </c>
      <c r="G118">
        <v>-1.5</v>
      </c>
      <c r="H118">
        <v>10.7</v>
      </c>
      <c r="I118" t="s">
        <v>11</v>
      </c>
      <c r="J118" t="s">
        <v>11</v>
      </c>
      <c r="K118" t="s">
        <v>11</v>
      </c>
    </row>
    <row r="119" spans="1:11" x14ac:dyDescent="0.4">
      <c r="A119" s="3">
        <v>46140</v>
      </c>
      <c r="B119">
        <v>7.4</v>
      </c>
      <c r="C119">
        <v>145.5</v>
      </c>
      <c r="D119" t="s">
        <v>11</v>
      </c>
      <c r="E119">
        <v>9.4</v>
      </c>
      <c r="F119">
        <v>22</v>
      </c>
      <c r="G119">
        <v>3.5</v>
      </c>
      <c r="H119">
        <v>10.9</v>
      </c>
      <c r="I119" t="s">
        <v>11</v>
      </c>
      <c r="J119" t="s">
        <v>11</v>
      </c>
      <c r="K119" t="s">
        <v>11</v>
      </c>
    </row>
    <row r="120" spans="1:11" x14ac:dyDescent="0.4">
      <c r="A120" s="3">
        <v>46141</v>
      </c>
      <c r="B120">
        <v>0</v>
      </c>
      <c r="C120">
        <v>145.5</v>
      </c>
      <c r="D120" t="s">
        <v>11</v>
      </c>
      <c r="E120">
        <v>10</v>
      </c>
      <c r="F120">
        <v>16.8</v>
      </c>
      <c r="G120">
        <v>1.1000000000000001</v>
      </c>
      <c r="H120">
        <v>10.6</v>
      </c>
      <c r="I120" t="s">
        <v>11</v>
      </c>
      <c r="J120" t="s">
        <v>11</v>
      </c>
      <c r="K120" t="s">
        <v>11</v>
      </c>
    </row>
    <row r="121" spans="1:11" x14ac:dyDescent="0.4">
      <c r="A121" s="3">
        <v>46142</v>
      </c>
      <c r="B121" t="s">
        <v>11</v>
      </c>
      <c r="C121">
        <v>145.5</v>
      </c>
      <c r="D121" t="s">
        <v>11</v>
      </c>
      <c r="E121">
        <v>8.5</v>
      </c>
      <c r="F121" t="s">
        <v>11</v>
      </c>
      <c r="G121" t="s">
        <v>11</v>
      </c>
      <c r="H121">
        <v>10.1</v>
      </c>
      <c r="I121" t="s">
        <v>11</v>
      </c>
      <c r="J121" t="s">
        <v>11</v>
      </c>
      <c r="K121" t="s">
        <v>11</v>
      </c>
    </row>
    <row r="122" spans="1:11" x14ac:dyDescent="0.4">
      <c r="A122" s="3">
        <v>46143</v>
      </c>
      <c r="B122">
        <v>0</v>
      </c>
      <c r="C122">
        <v>145.5</v>
      </c>
      <c r="D122" t="s">
        <v>11</v>
      </c>
      <c r="E122">
        <v>11.1</v>
      </c>
      <c r="F122">
        <v>23.6</v>
      </c>
      <c r="G122">
        <v>-2.5</v>
      </c>
      <c r="H122">
        <v>10.1</v>
      </c>
      <c r="I122" t="s">
        <v>11</v>
      </c>
      <c r="J122" t="s">
        <v>11</v>
      </c>
      <c r="K122" t="s">
        <v>11</v>
      </c>
    </row>
    <row r="123" spans="1:11" x14ac:dyDescent="0.4">
      <c r="A123" s="3">
        <v>46144</v>
      </c>
      <c r="B123">
        <v>0</v>
      </c>
      <c r="C123">
        <v>145.5</v>
      </c>
      <c r="D123" t="s">
        <v>11</v>
      </c>
      <c r="E123">
        <v>12.1</v>
      </c>
      <c r="F123">
        <v>24.2</v>
      </c>
      <c r="G123">
        <v>-1.5</v>
      </c>
      <c r="H123">
        <v>10.199999999999999</v>
      </c>
      <c r="I123" t="s">
        <v>11</v>
      </c>
      <c r="J123" t="s">
        <v>11</v>
      </c>
      <c r="K123" t="s">
        <v>11</v>
      </c>
    </row>
    <row r="124" spans="1:11" x14ac:dyDescent="0.4">
      <c r="A124" s="3">
        <v>46145</v>
      </c>
      <c r="B124">
        <v>0</v>
      </c>
      <c r="C124">
        <v>145.5</v>
      </c>
      <c r="D124" t="s">
        <v>11</v>
      </c>
      <c r="E124">
        <v>12.7</v>
      </c>
      <c r="F124">
        <v>24.8</v>
      </c>
      <c r="G124">
        <v>-0.8</v>
      </c>
      <c r="H124">
        <v>10.9</v>
      </c>
      <c r="I124" t="s">
        <v>11</v>
      </c>
      <c r="J124" t="s">
        <v>11</v>
      </c>
      <c r="K124" t="s">
        <v>11</v>
      </c>
    </row>
    <row r="125" spans="1:11" x14ac:dyDescent="0.4">
      <c r="A125" s="3">
        <v>46146</v>
      </c>
      <c r="B125">
        <v>0</v>
      </c>
      <c r="C125">
        <v>145.5</v>
      </c>
      <c r="D125" t="s">
        <v>11</v>
      </c>
      <c r="E125">
        <v>12.4</v>
      </c>
      <c r="F125">
        <v>23</v>
      </c>
      <c r="G125">
        <v>1.3</v>
      </c>
      <c r="H125">
        <v>11.4</v>
      </c>
      <c r="I125" t="s">
        <v>11</v>
      </c>
      <c r="J125" t="s">
        <v>11</v>
      </c>
      <c r="K125" t="s">
        <v>11</v>
      </c>
    </row>
    <row r="126" spans="1:11" x14ac:dyDescent="0.4">
      <c r="A126" s="3">
        <v>46147</v>
      </c>
      <c r="B126">
        <v>0</v>
      </c>
      <c r="C126">
        <v>145.5</v>
      </c>
      <c r="D126" t="s">
        <v>11</v>
      </c>
      <c r="E126">
        <v>11.9</v>
      </c>
      <c r="F126">
        <v>23.3</v>
      </c>
      <c r="G126">
        <v>-1</v>
      </c>
      <c r="H126">
        <v>12</v>
      </c>
      <c r="I126" t="s">
        <v>11</v>
      </c>
      <c r="J126" t="s">
        <v>11</v>
      </c>
      <c r="K126" t="s">
        <v>11</v>
      </c>
    </row>
    <row r="127" spans="1:11" x14ac:dyDescent="0.4">
      <c r="A127" s="3">
        <v>46148</v>
      </c>
      <c r="B127">
        <v>0</v>
      </c>
      <c r="C127">
        <v>145.5</v>
      </c>
      <c r="D127" t="s">
        <v>11</v>
      </c>
      <c r="E127">
        <v>12.4</v>
      </c>
      <c r="F127">
        <v>25.1</v>
      </c>
      <c r="G127">
        <v>-0.9</v>
      </c>
      <c r="H127">
        <v>12.3</v>
      </c>
      <c r="I127" t="s">
        <v>11</v>
      </c>
      <c r="J127" t="s">
        <v>11</v>
      </c>
      <c r="K127" t="s">
        <v>11</v>
      </c>
    </row>
    <row r="128" spans="1:11" x14ac:dyDescent="0.4">
      <c r="A128" s="3">
        <v>46149</v>
      </c>
      <c r="B128">
        <v>0</v>
      </c>
      <c r="C128">
        <v>145.5</v>
      </c>
      <c r="D128" t="s">
        <v>11</v>
      </c>
      <c r="E128">
        <v>13.4</v>
      </c>
      <c r="F128">
        <v>25.6</v>
      </c>
      <c r="G128">
        <v>-0.3</v>
      </c>
      <c r="H128">
        <v>12.6</v>
      </c>
      <c r="I128" t="s">
        <v>11</v>
      </c>
      <c r="J128" t="s">
        <v>11</v>
      </c>
      <c r="K128" t="s">
        <v>11</v>
      </c>
    </row>
    <row r="129" spans="1:11" x14ac:dyDescent="0.4">
      <c r="A129" s="3">
        <v>46150</v>
      </c>
      <c r="B129">
        <v>0</v>
      </c>
      <c r="C129">
        <v>145.5</v>
      </c>
      <c r="D129" t="s">
        <v>11</v>
      </c>
      <c r="E129">
        <v>14.3</v>
      </c>
      <c r="F129">
        <v>25.8</v>
      </c>
      <c r="G129">
        <v>2.5</v>
      </c>
      <c r="H129">
        <v>12.9</v>
      </c>
      <c r="I129" t="s">
        <v>11</v>
      </c>
      <c r="J129" t="s">
        <v>11</v>
      </c>
      <c r="K129" t="s">
        <v>11</v>
      </c>
    </row>
    <row r="130" spans="1:11" x14ac:dyDescent="0.4">
      <c r="A130" s="3">
        <v>46151</v>
      </c>
      <c r="B130">
        <v>0.3</v>
      </c>
      <c r="C130">
        <v>145.80000000000001</v>
      </c>
      <c r="D130" t="s">
        <v>11</v>
      </c>
      <c r="E130">
        <v>12.2</v>
      </c>
      <c r="F130">
        <v>23</v>
      </c>
      <c r="G130">
        <v>3.6</v>
      </c>
      <c r="H130">
        <v>12.8</v>
      </c>
      <c r="I130" t="s">
        <v>11</v>
      </c>
      <c r="J130" t="s">
        <v>11</v>
      </c>
      <c r="K130" t="s">
        <v>11</v>
      </c>
    </row>
    <row r="131" spans="1:11" x14ac:dyDescent="0.4">
      <c r="A131" s="3">
        <v>46152</v>
      </c>
      <c r="B131">
        <v>3.8</v>
      </c>
      <c r="C131">
        <v>149.6</v>
      </c>
      <c r="D131" t="s">
        <v>11</v>
      </c>
      <c r="E131">
        <v>12.8</v>
      </c>
      <c r="F131">
        <v>19.5</v>
      </c>
      <c r="G131">
        <v>6.6</v>
      </c>
      <c r="H131">
        <v>13</v>
      </c>
      <c r="I131" t="s">
        <v>11</v>
      </c>
      <c r="J131" t="s">
        <v>11</v>
      </c>
      <c r="K131" t="s">
        <v>11</v>
      </c>
    </row>
    <row r="132" spans="1:11" x14ac:dyDescent="0.4">
      <c r="A132" s="3">
        <v>46153</v>
      </c>
      <c r="B132">
        <v>4.2</v>
      </c>
      <c r="C132">
        <v>153.80000000000001</v>
      </c>
      <c r="D132" t="s">
        <v>11</v>
      </c>
      <c r="E132">
        <v>11.1</v>
      </c>
      <c r="F132">
        <v>14.5</v>
      </c>
      <c r="G132">
        <v>8.6999999999999993</v>
      </c>
      <c r="H132">
        <v>12.8</v>
      </c>
      <c r="I132" t="s">
        <v>11</v>
      </c>
      <c r="J132" t="s">
        <v>11</v>
      </c>
      <c r="K132" t="s">
        <v>11</v>
      </c>
    </row>
    <row r="133" spans="1:11" x14ac:dyDescent="0.4">
      <c r="A133" s="3">
        <v>46154</v>
      </c>
      <c r="B133">
        <v>3.2</v>
      </c>
      <c r="C133">
        <v>157</v>
      </c>
      <c r="D133" t="s">
        <v>11</v>
      </c>
      <c r="E133">
        <v>7.9</v>
      </c>
      <c r="F133">
        <v>12.8</v>
      </c>
      <c r="G133">
        <v>5.5</v>
      </c>
      <c r="H133">
        <v>11.7</v>
      </c>
      <c r="I133" t="s">
        <v>11</v>
      </c>
      <c r="J133" t="s">
        <v>11</v>
      </c>
      <c r="K133" t="s">
        <v>11</v>
      </c>
    </row>
    <row r="134" spans="1:11" x14ac:dyDescent="0.4">
      <c r="A134" s="3">
        <v>46155</v>
      </c>
      <c r="B134">
        <v>0</v>
      </c>
      <c r="C134">
        <v>157</v>
      </c>
      <c r="D134" t="s">
        <v>11</v>
      </c>
      <c r="E134">
        <v>3.7</v>
      </c>
      <c r="F134">
        <v>11.6</v>
      </c>
      <c r="G134">
        <v>-5.4</v>
      </c>
      <c r="H134">
        <v>9.5</v>
      </c>
      <c r="I134" t="s">
        <v>11</v>
      </c>
      <c r="J134" t="s">
        <v>11</v>
      </c>
      <c r="K134" t="s">
        <v>11</v>
      </c>
    </row>
    <row r="135" spans="1:11" x14ac:dyDescent="0.4">
      <c r="A135" s="3">
        <v>46156</v>
      </c>
      <c r="B135">
        <v>0.8</v>
      </c>
      <c r="C135">
        <v>157.80000000000001</v>
      </c>
      <c r="D135" t="s">
        <v>11</v>
      </c>
      <c r="E135">
        <v>4.7</v>
      </c>
      <c r="F135">
        <v>9.9</v>
      </c>
      <c r="G135">
        <v>1</v>
      </c>
      <c r="H135">
        <v>8</v>
      </c>
      <c r="I135" t="s">
        <v>11</v>
      </c>
      <c r="J135" t="s">
        <v>11</v>
      </c>
      <c r="K135" t="s">
        <v>11</v>
      </c>
    </row>
    <row r="136" spans="1:11" x14ac:dyDescent="0.4">
      <c r="A136" s="3">
        <v>46157</v>
      </c>
      <c r="B136">
        <v>0.1</v>
      </c>
      <c r="C136">
        <v>157.9</v>
      </c>
      <c r="D136" t="s">
        <v>11</v>
      </c>
      <c r="E136">
        <v>3.8</v>
      </c>
      <c r="F136">
        <v>10.9</v>
      </c>
      <c r="G136">
        <v>-1.5</v>
      </c>
      <c r="H136">
        <v>6.2</v>
      </c>
      <c r="I136" t="s">
        <v>11</v>
      </c>
      <c r="J136" t="s">
        <v>11</v>
      </c>
      <c r="K136" t="s">
        <v>11</v>
      </c>
    </row>
    <row r="137" spans="1:11" x14ac:dyDescent="0.4">
      <c r="A137" s="3">
        <v>46158</v>
      </c>
      <c r="B137">
        <v>0</v>
      </c>
      <c r="C137">
        <v>157.9</v>
      </c>
      <c r="D137" t="s">
        <v>11</v>
      </c>
      <c r="E137">
        <v>4.7</v>
      </c>
      <c r="F137">
        <v>14.7</v>
      </c>
      <c r="G137">
        <v>-4.8</v>
      </c>
      <c r="H137">
        <v>5</v>
      </c>
      <c r="I137" t="s">
        <v>11</v>
      </c>
      <c r="J137" t="s">
        <v>11</v>
      </c>
      <c r="K137" t="s">
        <v>11</v>
      </c>
    </row>
    <row r="138" spans="1:11" x14ac:dyDescent="0.4">
      <c r="A138" s="3">
        <v>46159</v>
      </c>
      <c r="B138">
        <v>0</v>
      </c>
      <c r="C138">
        <v>157.9</v>
      </c>
      <c r="D138" t="s">
        <v>11</v>
      </c>
      <c r="E138">
        <v>4.9000000000000004</v>
      </c>
      <c r="F138">
        <v>14.8</v>
      </c>
      <c r="G138">
        <v>-4</v>
      </c>
      <c r="H138">
        <v>4.4000000000000004</v>
      </c>
      <c r="I138" t="s">
        <v>11</v>
      </c>
      <c r="J138" t="s">
        <v>11</v>
      </c>
      <c r="K138" t="s">
        <v>11</v>
      </c>
    </row>
    <row r="139" spans="1:11" x14ac:dyDescent="0.4">
      <c r="A139" s="3">
        <v>46160</v>
      </c>
      <c r="B139">
        <v>0</v>
      </c>
      <c r="C139">
        <v>157.9</v>
      </c>
      <c r="D139" t="s">
        <v>11</v>
      </c>
      <c r="E139" t="s">
        <v>11</v>
      </c>
      <c r="F139">
        <v>15.4</v>
      </c>
      <c r="G139">
        <v>-1.8</v>
      </c>
      <c r="H139" t="s">
        <v>11</v>
      </c>
      <c r="I139" t="s">
        <v>11</v>
      </c>
      <c r="J139" t="s">
        <v>11</v>
      </c>
      <c r="K139" t="s">
        <v>11</v>
      </c>
    </row>
    <row r="140" spans="1:11" x14ac:dyDescent="0.4">
      <c r="A140" s="3">
        <v>46161</v>
      </c>
      <c r="B140">
        <v>0</v>
      </c>
      <c r="C140">
        <v>157.9</v>
      </c>
      <c r="D140" t="s">
        <v>11</v>
      </c>
      <c r="E140">
        <v>2.6</v>
      </c>
      <c r="F140">
        <v>14.4</v>
      </c>
      <c r="G140">
        <v>-2.8</v>
      </c>
      <c r="H140" t="s">
        <v>11</v>
      </c>
      <c r="I140" t="s">
        <v>11</v>
      </c>
      <c r="J140" t="s">
        <v>11</v>
      </c>
      <c r="K140" t="s">
        <v>11</v>
      </c>
    </row>
    <row r="141" spans="1:11" x14ac:dyDescent="0.4">
      <c r="A141" s="3">
        <v>46162</v>
      </c>
      <c r="B141">
        <v>0</v>
      </c>
      <c r="C141">
        <v>157.9</v>
      </c>
      <c r="D141" t="s">
        <v>11</v>
      </c>
      <c r="E141">
        <v>5.0999999999999996</v>
      </c>
      <c r="F141">
        <v>15.8</v>
      </c>
      <c r="G141">
        <v>-5.4</v>
      </c>
      <c r="H141" t="s">
        <v>11</v>
      </c>
      <c r="I141" t="s">
        <v>11</v>
      </c>
      <c r="J141" t="s">
        <v>11</v>
      </c>
      <c r="K141" t="s">
        <v>11</v>
      </c>
    </row>
    <row r="142" spans="1:11" x14ac:dyDescent="0.4">
      <c r="A142" s="3">
        <v>46163</v>
      </c>
      <c r="B142">
        <v>0</v>
      </c>
      <c r="C142">
        <v>157.9</v>
      </c>
      <c r="D142" t="s">
        <v>11</v>
      </c>
      <c r="E142">
        <v>9</v>
      </c>
      <c r="F142">
        <v>21</v>
      </c>
      <c r="G142">
        <v>-4.2</v>
      </c>
      <c r="H142" t="s">
        <v>11</v>
      </c>
      <c r="I142" t="s">
        <v>11</v>
      </c>
      <c r="J142" t="s">
        <v>11</v>
      </c>
      <c r="K142" t="s">
        <v>11</v>
      </c>
    </row>
    <row r="143" spans="1:11" x14ac:dyDescent="0.4">
      <c r="A143" s="3">
        <v>46164</v>
      </c>
      <c r="B143">
        <v>0</v>
      </c>
      <c r="C143">
        <v>157.9</v>
      </c>
      <c r="D143" t="s">
        <v>11</v>
      </c>
      <c r="E143">
        <v>9.4</v>
      </c>
      <c r="F143">
        <v>19.899999999999999</v>
      </c>
      <c r="G143">
        <v>-2.2999999999999998</v>
      </c>
      <c r="H143" t="s">
        <v>11</v>
      </c>
      <c r="I143" t="s">
        <v>11</v>
      </c>
      <c r="J143" t="s">
        <v>11</v>
      </c>
      <c r="K143" t="s">
        <v>11</v>
      </c>
    </row>
    <row r="144" spans="1:11" x14ac:dyDescent="0.4">
      <c r="A144" s="3">
        <v>46165</v>
      </c>
      <c r="B144">
        <v>0</v>
      </c>
      <c r="C144">
        <v>157.9</v>
      </c>
      <c r="D144" t="s">
        <v>11</v>
      </c>
      <c r="E144">
        <v>10.6</v>
      </c>
      <c r="F144">
        <v>18</v>
      </c>
      <c r="G144">
        <v>-1.4</v>
      </c>
      <c r="H144">
        <v>7.3</v>
      </c>
      <c r="I144" t="s">
        <v>11</v>
      </c>
      <c r="J144" t="s">
        <v>11</v>
      </c>
      <c r="K144" t="s">
        <v>11</v>
      </c>
    </row>
    <row r="145" spans="1:11" x14ac:dyDescent="0.4">
      <c r="A145" s="3">
        <v>46166</v>
      </c>
      <c r="B145">
        <v>1.6</v>
      </c>
      <c r="C145">
        <v>159.5</v>
      </c>
      <c r="D145" t="s">
        <v>11</v>
      </c>
      <c r="E145">
        <v>3.9</v>
      </c>
      <c r="F145">
        <v>15.8</v>
      </c>
      <c r="G145">
        <v>-2.8</v>
      </c>
      <c r="H145">
        <v>7.6</v>
      </c>
      <c r="I145" t="s">
        <v>11</v>
      </c>
      <c r="J145" t="s">
        <v>11</v>
      </c>
      <c r="K145" t="s">
        <v>11</v>
      </c>
    </row>
    <row r="146" spans="1:11" x14ac:dyDescent="0.4">
      <c r="A146" s="3">
        <v>46167</v>
      </c>
      <c r="B146">
        <v>2.5</v>
      </c>
      <c r="C146">
        <v>162</v>
      </c>
      <c r="D146" t="s">
        <v>11</v>
      </c>
      <c r="E146">
        <v>9.5</v>
      </c>
      <c r="F146">
        <v>16.399999999999999</v>
      </c>
      <c r="G146">
        <v>2.8</v>
      </c>
      <c r="H146">
        <v>8.5</v>
      </c>
      <c r="I146" t="s">
        <v>11</v>
      </c>
      <c r="J146" t="s">
        <v>11</v>
      </c>
      <c r="K146" t="s">
        <v>11</v>
      </c>
    </row>
    <row r="147" spans="1:11" x14ac:dyDescent="0.4">
      <c r="A147" s="3">
        <v>46168</v>
      </c>
      <c r="B147">
        <v>0</v>
      </c>
      <c r="C147">
        <v>162</v>
      </c>
      <c r="D147" t="s">
        <v>11</v>
      </c>
      <c r="E147">
        <v>10.3</v>
      </c>
      <c r="F147">
        <v>23.6</v>
      </c>
      <c r="G147">
        <v>-3.7</v>
      </c>
      <c r="H147">
        <v>8.6999999999999993</v>
      </c>
      <c r="I147" t="s">
        <v>11</v>
      </c>
      <c r="J147" t="s">
        <v>11</v>
      </c>
      <c r="K147" t="s">
        <v>11</v>
      </c>
    </row>
    <row r="148" spans="1:11" x14ac:dyDescent="0.4">
      <c r="A148" s="3">
        <v>46169</v>
      </c>
      <c r="B148">
        <v>0</v>
      </c>
      <c r="C148">
        <v>162</v>
      </c>
      <c r="D148" t="s">
        <v>11</v>
      </c>
      <c r="E148">
        <v>13.2</v>
      </c>
      <c r="F148">
        <v>26.1</v>
      </c>
      <c r="G148">
        <v>-0.6</v>
      </c>
      <c r="H148">
        <v>9.5</v>
      </c>
      <c r="I148" t="s">
        <v>11</v>
      </c>
      <c r="J148" t="s">
        <v>11</v>
      </c>
      <c r="K148" t="s">
        <v>11</v>
      </c>
    </row>
    <row r="149" spans="1:11" x14ac:dyDescent="0.4">
      <c r="A149" s="3">
        <v>46170</v>
      </c>
      <c r="B149">
        <v>0</v>
      </c>
      <c r="C149">
        <v>162</v>
      </c>
      <c r="D149" t="s">
        <v>11</v>
      </c>
      <c r="E149">
        <v>14.5</v>
      </c>
      <c r="F149">
        <v>27.3</v>
      </c>
      <c r="G149">
        <v>1.2</v>
      </c>
      <c r="H149">
        <v>10.3</v>
      </c>
      <c r="I149" t="s">
        <v>11</v>
      </c>
      <c r="J149" t="s">
        <v>11</v>
      </c>
      <c r="K149" t="s">
        <v>11</v>
      </c>
    </row>
    <row r="150" spans="1:11" x14ac:dyDescent="0.4">
      <c r="A150" s="3">
        <v>46171</v>
      </c>
      <c r="B150">
        <v>0</v>
      </c>
      <c r="C150">
        <v>162</v>
      </c>
      <c r="D150" t="s">
        <v>11</v>
      </c>
      <c r="E150">
        <v>13.2</v>
      </c>
      <c r="F150">
        <v>23.5</v>
      </c>
      <c r="G150">
        <v>10.9</v>
      </c>
      <c r="H150">
        <v>12.1</v>
      </c>
      <c r="I150" t="s">
        <v>11</v>
      </c>
      <c r="J150" t="s">
        <v>11</v>
      </c>
      <c r="K150" t="s">
        <v>11</v>
      </c>
    </row>
    <row r="151" spans="1:11" x14ac:dyDescent="0.4">
      <c r="A151" s="3">
        <v>46172</v>
      </c>
      <c r="B151">
        <v>0</v>
      </c>
      <c r="C151">
        <v>162</v>
      </c>
      <c r="D151" t="s">
        <v>11</v>
      </c>
      <c r="E151">
        <v>13.5</v>
      </c>
      <c r="F151">
        <v>26.2</v>
      </c>
      <c r="G151">
        <v>0.8</v>
      </c>
      <c r="H151">
        <v>12.9</v>
      </c>
      <c r="I151" t="s">
        <v>11</v>
      </c>
      <c r="J151" t="s">
        <v>11</v>
      </c>
      <c r="K151" t="s">
        <v>11</v>
      </c>
    </row>
    <row r="152" spans="1:11" x14ac:dyDescent="0.4">
      <c r="A152" s="3">
        <v>46173</v>
      </c>
      <c r="B152">
        <v>0</v>
      </c>
      <c r="C152">
        <v>162</v>
      </c>
      <c r="D152" t="s">
        <v>11</v>
      </c>
      <c r="E152">
        <v>16.100000000000001</v>
      </c>
      <c r="F152">
        <v>28.5</v>
      </c>
      <c r="G152">
        <v>2.2000000000000002</v>
      </c>
      <c r="H152">
        <v>14.1</v>
      </c>
      <c r="I152" t="s">
        <v>11</v>
      </c>
      <c r="J152" t="s">
        <v>11</v>
      </c>
      <c r="K152" t="s">
        <v>11</v>
      </c>
    </row>
    <row r="153" spans="1:11" x14ac:dyDescent="0.4">
      <c r="A153" s="3">
        <v>46174</v>
      </c>
      <c r="B153">
        <v>0</v>
      </c>
      <c r="C153">
        <v>162</v>
      </c>
      <c r="D153" t="s">
        <v>11</v>
      </c>
      <c r="E153">
        <v>18.100000000000001</v>
      </c>
      <c r="F153">
        <v>29.7</v>
      </c>
      <c r="G153">
        <v>4.4000000000000004</v>
      </c>
      <c r="H153">
        <v>15.1</v>
      </c>
      <c r="I153" t="s">
        <v>11</v>
      </c>
      <c r="J153" t="s">
        <v>11</v>
      </c>
      <c r="K153" t="s">
        <v>11</v>
      </c>
    </row>
    <row r="154" spans="1:11" x14ac:dyDescent="0.4">
      <c r="A154" s="3">
        <v>46175</v>
      </c>
      <c r="B154">
        <v>0</v>
      </c>
      <c r="C154">
        <v>162</v>
      </c>
      <c r="D154" t="s">
        <v>11</v>
      </c>
      <c r="E154">
        <v>18.7</v>
      </c>
      <c r="F154">
        <v>30.6</v>
      </c>
      <c r="G154">
        <v>4.7</v>
      </c>
      <c r="H154">
        <v>15.9</v>
      </c>
      <c r="I154" t="s">
        <v>11</v>
      </c>
      <c r="J154" t="s">
        <v>11</v>
      </c>
      <c r="K154" t="s">
        <v>11</v>
      </c>
    </row>
    <row r="155" spans="1:11" x14ac:dyDescent="0.4">
      <c r="A155" s="3">
        <v>46176</v>
      </c>
      <c r="B155">
        <v>0</v>
      </c>
      <c r="C155">
        <v>162</v>
      </c>
      <c r="D155" t="s">
        <v>11</v>
      </c>
      <c r="E155">
        <v>15.8</v>
      </c>
      <c r="F155">
        <v>29.7</v>
      </c>
      <c r="G155">
        <v>5.4</v>
      </c>
      <c r="H155">
        <v>16.399999999999999</v>
      </c>
      <c r="I155" t="s">
        <v>11</v>
      </c>
      <c r="J155" t="s">
        <v>11</v>
      </c>
      <c r="K155" t="s">
        <v>11</v>
      </c>
    </row>
    <row r="156" spans="1:11" x14ac:dyDescent="0.4">
      <c r="A156" s="3">
        <v>46177</v>
      </c>
      <c r="B156">
        <v>0</v>
      </c>
      <c r="C156">
        <v>162</v>
      </c>
      <c r="D156" t="s">
        <v>11</v>
      </c>
      <c r="E156">
        <v>15.8</v>
      </c>
      <c r="F156">
        <v>27.8</v>
      </c>
      <c r="G156">
        <v>4.5999999999999996</v>
      </c>
      <c r="H156">
        <v>16.899999999999999</v>
      </c>
      <c r="I156" t="s">
        <v>11</v>
      </c>
      <c r="J156" t="s">
        <v>11</v>
      </c>
      <c r="K156" t="s">
        <v>11</v>
      </c>
    </row>
    <row r="157" spans="1:11" x14ac:dyDescent="0.4">
      <c r="A157" s="3">
        <v>46178</v>
      </c>
      <c r="B157">
        <v>0</v>
      </c>
      <c r="C157">
        <v>162</v>
      </c>
      <c r="D157" t="s">
        <v>11</v>
      </c>
      <c r="E157">
        <v>16.600000000000001</v>
      </c>
      <c r="F157">
        <v>29.1</v>
      </c>
      <c r="G157">
        <v>3.7</v>
      </c>
      <c r="H157">
        <v>17</v>
      </c>
      <c r="I157" t="s">
        <v>11</v>
      </c>
      <c r="J157" t="s">
        <v>11</v>
      </c>
      <c r="K157" t="s">
        <v>11</v>
      </c>
    </row>
    <row r="158" spans="1:11" x14ac:dyDescent="0.4">
      <c r="A158" s="3">
        <v>46179</v>
      </c>
      <c r="B158">
        <v>0</v>
      </c>
      <c r="C158">
        <v>162</v>
      </c>
      <c r="D158" t="s">
        <v>11</v>
      </c>
      <c r="E158">
        <v>18.3</v>
      </c>
      <c r="F158">
        <v>30.3</v>
      </c>
      <c r="G158">
        <v>5.0999999999999996</v>
      </c>
      <c r="H158">
        <v>17</v>
      </c>
      <c r="I158" t="s">
        <v>11</v>
      </c>
      <c r="J158" t="s">
        <v>11</v>
      </c>
      <c r="K158" t="s">
        <v>11</v>
      </c>
    </row>
    <row r="159" spans="1:11" x14ac:dyDescent="0.4">
      <c r="A159" s="3">
        <v>46180</v>
      </c>
      <c r="B159">
        <v>0.6</v>
      </c>
      <c r="C159">
        <v>162.6</v>
      </c>
      <c r="D159" t="s">
        <v>11</v>
      </c>
      <c r="E159">
        <v>18.899999999999999</v>
      </c>
      <c r="F159">
        <v>28.9</v>
      </c>
      <c r="G159">
        <v>8.3000000000000007</v>
      </c>
      <c r="H159">
        <v>17.100000000000001</v>
      </c>
      <c r="I159" t="s">
        <v>11</v>
      </c>
      <c r="J159" t="s">
        <v>11</v>
      </c>
      <c r="K159" t="s">
        <v>11</v>
      </c>
    </row>
    <row r="160" spans="1:11" x14ac:dyDescent="0.4">
      <c r="A160" s="3">
        <v>46181</v>
      </c>
      <c r="B160">
        <v>0.8</v>
      </c>
      <c r="C160">
        <v>163.4</v>
      </c>
      <c r="D160" t="s">
        <v>11</v>
      </c>
      <c r="E160">
        <v>15.8</v>
      </c>
      <c r="F160">
        <v>26</v>
      </c>
      <c r="G160">
        <v>13</v>
      </c>
      <c r="H160">
        <v>17.100000000000001</v>
      </c>
      <c r="I160" t="s">
        <v>11</v>
      </c>
      <c r="J160" t="s">
        <v>11</v>
      </c>
      <c r="K160" t="s">
        <v>11</v>
      </c>
    </row>
    <row r="161" spans="1:11" x14ac:dyDescent="0.4">
      <c r="A161" s="3">
        <v>46182</v>
      </c>
      <c r="B161">
        <v>0</v>
      </c>
      <c r="C161">
        <v>163.4</v>
      </c>
      <c r="D161" t="s">
        <v>11</v>
      </c>
      <c r="E161">
        <v>16</v>
      </c>
      <c r="F161">
        <v>23.9</v>
      </c>
      <c r="G161">
        <v>8.9</v>
      </c>
      <c r="H161">
        <v>17.100000000000001</v>
      </c>
      <c r="I161" t="s">
        <v>11</v>
      </c>
      <c r="J161" t="s">
        <v>11</v>
      </c>
      <c r="K161" t="s">
        <v>11</v>
      </c>
    </row>
    <row r="162" spans="1:11" x14ac:dyDescent="0.4">
      <c r="A162" s="3">
        <v>46183</v>
      </c>
      <c r="B162">
        <v>0</v>
      </c>
      <c r="C162">
        <v>163.4</v>
      </c>
      <c r="D162" t="s">
        <v>11</v>
      </c>
      <c r="E162">
        <v>18.2</v>
      </c>
      <c r="F162">
        <v>30</v>
      </c>
      <c r="G162">
        <v>4.7</v>
      </c>
      <c r="H162">
        <v>17.399999999999999</v>
      </c>
      <c r="I162" t="s">
        <v>11</v>
      </c>
      <c r="J162" t="s">
        <v>11</v>
      </c>
      <c r="K162" t="s">
        <v>11</v>
      </c>
    </row>
    <row r="163" spans="1:11" x14ac:dyDescent="0.4">
      <c r="A163" s="3">
        <v>46184</v>
      </c>
      <c r="B163">
        <v>0</v>
      </c>
      <c r="C163">
        <v>163.4</v>
      </c>
      <c r="D163" t="s">
        <v>11</v>
      </c>
      <c r="E163">
        <v>20</v>
      </c>
      <c r="F163">
        <v>31.8</v>
      </c>
      <c r="G163">
        <v>7.2</v>
      </c>
      <c r="H163">
        <v>17.8</v>
      </c>
      <c r="I163" t="s">
        <v>11</v>
      </c>
      <c r="J163" t="s">
        <v>11</v>
      </c>
      <c r="K163" t="s">
        <v>11</v>
      </c>
    </row>
    <row r="164" spans="1:11" x14ac:dyDescent="0.4">
      <c r="A164" s="3">
        <v>46185</v>
      </c>
      <c r="B164">
        <v>2.9</v>
      </c>
      <c r="C164">
        <v>166.3</v>
      </c>
      <c r="D164" t="s">
        <v>11</v>
      </c>
      <c r="E164">
        <v>15.9</v>
      </c>
      <c r="F164">
        <v>29.6</v>
      </c>
      <c r="G164">
        <v>9.1</v>
      </c>
      <c r="H164">
        <v>17.2</v>
      </c>
      <c r="I164" t="s">
        <v>11</v>
      </c>
      <c r="J164" t="s">
        <v>11</v>
      </c>
      <c r="K164" t="s">
        <v>11</v>
      </c>
    </row>
    <row r="165" spans="1:11" x14ac:dyDescent="0.4">
      <c r="A165" s="3">
        <v>46186</v>
      </c>
      <c r="B165">
        <v>0</v>
      </c>
      <c r="C165">
        <v>166.3</v>
      </c>
      <c r="D165" t="s">
        <v>11</v>
      </c>
      <c r="E165">
        <v>17</v>
      </c>
      <c r="F165">
        <v>28.2</v>
      </c>
      <c r="G165">
        <v>7.4</v>
      </c>
      <c r="H165">
        <v>17.399999999999999</v>
      </c>
      <c r="I165" t="s">
        <v>11</v>
      </c>
      <c r="J165" t="s">
        <v>11</v>
      </c>
      <c r="K165" t="s">
        <v>11</v>
      </c>
    </row>
    <row r="166" spans="1:11" x14ac:dyDescent="0.4">
      <c r="A166" s="3">
        <v>46187</v>
      </c>
      <c r="B166">
        <v>0</v>
      </c>
      <c r="C166">
        <v>166.3</v>
      </c>
      <c r="D166" t="s">
        <v>11</v>
      </c>
      <c r="E166">
        <v>17.600000000000001</v>
      </c>
      <c r="F166">
        <v>29.1</v>
      </c>
      <c r="G166">
        <v>4.7</v>
      </c>
      <c r="H166">
        <v>17.7</v>
      </c>
      <c r="I166" t="s">
        <v>11</v>
      </c>
      <c r="J166" t="s">
        <v>11</v>
      </c>
      <c r="K166" t="s">
        <v>11</v>
      </c>
    </row>
    <row r="167" spans="1:11" x14ac:dyDescent="0.4">
      <c r="A167" s="3">
        <v>46188</v>
      </c>
      <c r="B167">
        <v>0</v>
      </c>
      <c r="C167">
        <v>166.3</v>
      </c>
      <c r="D167" t="s">
        <v>11</v>
      </c>
      <c r="E167">
        <v>19.3</v>
      </c>
      <c r="F167">
        <v>30.5</v>
      </c>
      <c r="G167">
        <v>6.1</v>
      </c>
      <c r="H167">
        <v>18</v>
      </c>
      <c r="I167" t="s">
        <v>11</v>
      </c>
      <c r="J167" t="s">
        <v>11</v>
      </c>
      <c r="K167" t="s">
        <v>11</v>
      </c>
    </row>
    <row r="168" spans="1:11" x14ac:dyDescent="0.4">
      <c r="A168" s="3">
        <v>46189</v>
      </c>
      <c r="B168">
        <v>1.1000000000000001</v>
      </c>
      <c r="C168">
        <v>167.4</v>
      </c>
      <c r="D168" t="s">
        <v>11</v>
      </c>
      <c r="E168">
        <v>18</v>
      </c>
      <c r="F168">
        <v>28.8</v>
      </c>
      <c r="G168">
        <v>11.8</v>
      </c>
      <c r="H168">
        <v>17.600000000000001</v>
      </c>
      <c r="I168" t="s">
        <v>11</v>
      </c>
      <c r="J168" t="s">
        <v>11</v>
      </c>
      <c r="K168" t="s">
        <v>11</v>
      </c>
    </row>
    <row r="169" spans="1:11" x14ac:dyDescent="0.4">
      <c r="A169" s="3">
        <v>46190</v>
      </c>
      <c r="B169">
        <v>0</v>
      </c>
      <c r="C169">
        <v>167.4</v>
      </c>
      <c r="D169" t="s">
        <v>11</v>
      </c>
      <c r="E169">
        <v>17.100000000000001</v>
      </c>
      <c r="F169">
        <v>29.9</v>
      </c>
      <c r="G169">
        <v>7.4</v>
      </c>
      <c r="H169">
        <v>17.8</v>
      </c>
      <c r="I169" t="s">
        <v>11</v>
      </c>
      <c r="J169" t="s">
        <v>11</v>
      </c>
      <c r="K169" t="s">
        <v>11</v>
      </c>
    </row>
    <row r="170" spans="1:11" x14ac:dyDescent="0.4">
      <c r="A170" s="3">
        <v>46191</v>
      </c>
      <c r="B170">
        <v>0</v>
      </c>
      <c r="C170">
        <v>167.4</v>
      </c>
      <c r="D170" t="s">
        <v>11</v>
      </c>
      <c r="E170">
        <v>17.7</v>
      </c>
      <c r="F170">
        <v>30.7</v>
      </c>
      <c r="G170">
        <v>7.5</v>
      </c>
      <c r="H170">
        <v>17.899999999999999</v>
      </c>
      <c r="I170" t="s">
        <v>11</v>
      </c>
      <c r="J170" t="s">
        <v>11</v>
      </c>
      <c r="K170" t="s">
        <v>11</v>
      </c>
    </row>
    <row r="171" spans="1:11" x14ac:dyDescent="0.4">
      <c r="A171" s="3">
        <v>46192</v>
      </c>
      <c r="B171">
        <v>0.1</v>
      </c>
      <c r="C171">
        <v>167.5</v>
      </c>
      <c r="D171" t="s">
        <v>11</v>
      </c>
      <c r="E171">
        <v>18.3</v>
      </c>
      <c r="F171">
        <v>31.5</v>
      </c>
      <c r="G171">
        <v>6.9</v>
      </c>
      <c r="H171">
        <v>18.100000000000001</v>
      </c>
      <c r="I171" t="s">
        <v>11</v>
      </c>
      <c r="J171" t="s">
        <v>11</v>
      </c>
      <c r="K171" t="s">
        <v>11</v>
      </c>
    </row>
    <row r="172" spans="1:11" x14ac:dyDescent="0.4">
      <c r="A172" s="3">
        <v>46193</v>
      </c>
      <c r="B172">
        <v>0</v>
      </c>
      <c r="C172">
        <v>167.5</v>
      </c>
      <c r="D172" t="s">
        <v>11</v>
      </c>
      <c r="E172">
        <v>19.399999999999999</v>
      </c>
      <c r="F172">
        <v>31.3</v>
      </c>
      <c r="G172">
        <v>5.7</v>
      </c>
      <c r="H172">
        <v>18.100000000000001</v>
      </c>
      <c r="I172" t="s">
        <v>11</v>
      </c>
      <c r="J172" t="s">
        <v>11</v>
      </c>
      <c r="K172" t="s">
        <v>11</v>
      </c>
    </row>
    <row r="173" spans="1:11" x14ac:dyDescent="0.4">
      <c r="A173" s="3">
        <v>46194</v>
      </c>
      <c r="B173">
        <v>0</v>
      </c>
      <c r="C173">
        <v>167.5</v>
      </c>
      <c r="D173" t="s">
        <v>11</v>
      </c>
      <c r="E173">
        <v>20.5</v>
      </c>
      <c r="F173">
        <v>32.299999999999997</v>
      </c>
      <c r="G173">
        <v>8.1</v>
      </c>
      <c r="H173">
        <v>18.600000000000001</v>
      </c>
      <c r="I173" t="s">
        <v>11</v>
      </c>
      <c r="J173" t="s">
        <v>11</v>
      </c>
      <c r="K173" t="s">
        <v>11</v>
      </c>
    </row>
    <row r="174" spans="1:11" x14ac:dyDescent="0.4">
      <c r="A174" s="3">
        <v>46195</v>
      </c>
      <c r="B174">
        <v>1</v>
      </c>
      <c r="C174">
        <v>168.5</v>
      </c>
      <c r="D174" t="s">
        <v>11</v>
      </c>
      <c r="E174">
        <v>14.5</v>
      </c>
      <c r="F174">
        <v>29.7</v>
      </c>
      <c r="G174">
        <v>7.9</v>
      </c>
      <c r="H174">
        <v>18.100000000000001</v>
      </c>
      <c r="I174" t="s">
        <v>11</v>
      </c>
      <c r="J174" t="s">
        <v>11</v>
      </c>
      <c r="K174" t="s">
        <v>11</v>
      </c>
    </row>
    <row r="175" spans="1:11" x14ac:dyDescent="0.4">
      <c r="A175" s="3">
        <v>46196</v>
      </c>
      <c r="B175">
        <v>1.3</v>
      </c>
      <c r="C175">
        <v>169.8</v>
      </c>
      <c r="D175" t="s">
        <v>11</v>
      </c>
      <c r="E175">
        <v>16</v>
      </c>
      <c r="F175">
        <v>26.1</v>
      </c>
      <c r="G175">
        <v>5.3</v>
      </c>
      <c r="H175">
        <v>17.7</v>
      </c>
      <c r="I175" t="s">
        <v>11</v>
      </c>
      <c r="J175" t="s">
        <v>11</v>
      </c>
      <c r="K175" t="s">
        <v>11</v>
      </c>
    </row>
    <row r="176" spans="1:11" x14ac:dyDescent="0.4">
      <c r="A176" s="3">
        <v>46197</v>
      </c>
      <c r="B176">
        <v>0.1</v>
      </c>
      <c r="C176">
        <v>169.9</v>
      </c>
      <c r="D176" t="s">
        <v>11</v>
      </c>
      <c r="E176">
        <v>14.2</v>
      </c>
      <c r="F176">
        <v>24.6</v>
      </c>
      <c r="G176">
        <v>8</v>
      </c>
      <c r="H176">
        <v>16.899999999999999</v>
      </c>
      <c r="I176" t="s">
        <v>11</v>
      </c>
      <c r="J176" t="s">
        <v>11</v>
      </c>
      <c r="K176" t="s">
        <v>11</v>
      </c>
    </row>
    <row r="177" spans="1:11" x14ac:dyDescent="0.4">
      <c r="A177" s="3">
        <v>46198</v>
      </c>
      <c r="B177">
        <v>0.9</v>
      </c>
      <c r="C177">
        <v>170.8</v>
      </c>
      <c r="D177" t="s">
        <v>11</v>
      </c>
      <c r="E177">
        <v>12.4</v>
      </c>
      <c r="F177">
        <v>19.3</v>
      </c>
      <c r="G177">
        <v>4.5</v>
      </c>
      <c r="H177">
        <v>15.5</v>
      </c>
      <c r="I177" t="s">
        <v>11</v>
      </c>
      <c r="J177" t="s">
        <v>11</v>
      </c>
      <c r="K177" t="s">
        <v>11</v>
      </c>
    </row>
    <row r="178" spans="1:11" x14ac:dyDescent="0.4">
      <c r="A178" s="3">
        <v>46199</v>
      </c>
      <c r="B178">
        <v>2.2000000000000002</v>
      </c>
      <c r="C178">
        <v>173</v>
      </c>
      <c r="D178" t="s">
        <v>11</v>
      </c>
      <c r="E178">
        <v>14.4</v>
      </c>
      <c r="F178">
        <v>24.2</v>
      </c>
      <c r="G178">
        <v>7</v>
      </c>
      <c r="H178">
        <v>14.3</v>
      </c>
      <c r="I178" t="s">
        <v>11</v>
      </c>
      <c r="J178" t="s">
        <v>11</v>
      </c>
      <c r="K178" t="s">
        <v>11</v>
      </c>
    </row>
    <row r="179" spans="1:11" x14ac:dyDescent="0.4">
      <c r="A179" s="3">
        <v>46200</v>
      </c>
      <c r="B179">
        <v>0</v>
      </c>
      <c r="C179">
        <v>173</v>
      </c>
      <c r="D179" t="s">
        <v>11</v>
      </c>
      <c r="E179">
        <v>18.600000000000001</v>
      </c>
      <c r="F179">
        <v>29.7</v>
      </c>
      <c r="G179">
        <v>6.3</v>
      </c>
      <c r="H179">
        <v>15.1</v>
      </c>
      <c r="I179" t="s">
        <v>11</v>
      </c>
      <c r="J179" t="s">
        <v>11</v>
      </c>
      <c r="K179" t="s">
        <v>11</v>
      </c>
    </row>
    <row r="180" spans="1:11" x14ac:dyDescent="0.4">
      <c r="A180" s="3">
        <v>46201</v>
      </c>
      <c r="B180">
        <v>0</v>
      </c>
      <c r="C180">
        <v>173</v>
      </c>
      <c r="D180" t="s">
        <v>11</v>
      </c>
      <c r="E180">
        <v>20.7</v>
      </c>
      <c r="F180">
        <v>31.2</v>
      </c>
      <c r="G180">
        <v>8.4</v>
      </c>
      <c r="H180">
        <v>16.100000000000001</v>
      </c>
      <c r="I180" t="s">
        <v>11</v>
      </c>
      <c r="J180" t="s">
        <v>11</v>
      </c>
      <c r="K180" t="s">
        <v>11</v>
      </c>
    </row>
    <row r="181" spans="1:11" x14ac:dyDescent="0.4">
      <c r="A181" s="3">
        <v>46202</v>
      </c>
      <c r="B181">
        <v>5.5</v>
      </c>
      <c r="C181">
        <v>178.5</v>
      </c>
      <c r="D181" t="s">
        <v>11</v>
      </c>
      <c r="E181">
        <v>19.2</v>
      </c>
      <c r="F181">
        <v>31.8</v>
      </c>
      <c r="G181">
        <v>8</v>
      </c>
      <c r="H181">
        <v>17.100000000000001</v>
      </c>
      <c r="I181" t="s">
        <v>11</v>
      </c>
      <c r="J181" t="s">
        <v>11</v>
      </c>
      <c r="K181" t="s">
        <v>11</v>
      </c>
    </row>
    <row r="182" spans="1:11" x14ac:dyDescent="0.4">
      <c r="A182" s="3">
        <v>46203</v>
      </c>
      <c r="B182">
        <v>0</v>
      </c>
      <c r="C182">
        <v>178.5</v>
      </c>
      <c r="D182" t="s">
        <v>11</v>
      </c>
      <c r="E182">
        <v>21</v>
      </c>
      <c r="F182">
        <v>32.4</v>
      </c>
      <c r="G182">
        <v>9.1</v>
      </c>
      <c r="H182">
        <v>18.8</v>
      </c>
      <c r="I182" t="s">
        <v>11</v>
      </c>
      <c r="J182" t="s">
        <v>11</v>
      </c>
      <c r="K182" t="s">
        <v>11</v>
      </c>
    </row>
    <row r="183" spans="1:11" x14ac:dyDescent="0.4">
      <c r="A183" s="3">
        <v>46204</v>
      </c>
      <c r="B183">
        <v>0</v>
      </c>
      <c r="C183">
        <v>178.5</v>
      </c>
      <c r="D183" t="s">
        <v>11</v>
      </c>
      <c r="E183">
        <v>20.6</v>
      </c>
      <c r="F183">
        <v>30.5</v>
      </c>
      <c r="G183">
        <v>13.4</v>
      </c>
      <c r="H183">
        <v>20</v>
      </c>
      <c r="I183" t="s">
        <v>11</v>
      </c>
      <c r="J183" t="s">
        <v>11</v>
      </c>
      <c r="K183" t="s">
        <v>11</v>
      </c>
    </row>
    <row r="184" spans="1:11" x14ac:dyDescent="0.4">
      <c r="A184" s="3">
        <v>46205</v>
      </c>
      <c r="B184">
        <v>3.4</v>
      </c>
      <c r="C184">
        <v>181.9</v>
      </c>
      <c r="D184" t="s">
        <v>11</v>
      </c>
      <c r="E184">
        <v>22.7</v>
      </c>
      <c r="F184">
        <v>32.1</v>
      </c>
      <c r="G184">
        <v>15.6</v>
      </c>
      <c r="H184">
        <v>20.8</v>
      </c>
      <c r="I184" t="s">
        <v>11</v>
      </c>
      <c r="J184" t="s">
        <v>11</v>
      </c>
      <c r="K184" t="s">
        <v>11</v>
      </c>
    </row>
    <row r="185" spans="1:11" x14ac:dyDescent="0.4">
      <c r="A185" s="3">
        <v>46206</v>
      </c>
      <c r="B185">
        <v>0</v>
      </c>
      <c r="C185">
        <v>181.9</v>
      </c>
      <c r="D185" t="s">
        <v>11</v>
      </c>
      <c r="E185">
        <v>24</v>
      </c>
      <c r="F185">
        <v>36.200000000000003</v>
      </c>
      <c r="G185">
        <v>11.6</v>
      </c>
      <c r="H185">
        <v>21.5</v>
      </c>
      <c r="I185" t="s">
        <v>11</v>
      </c>
      <c r="J185" t="s">
        <v>11</v>
      </c>
      <c r="K185" t="s">
        <v>11</v>
      </c>
    </row>
    <row r="186" spans="1:11" x14ac:dyDescent="0.4">
      <c r="A186" s="3">
        <v>46207</v>
      </c>
      <c r="B186">
        <v>0.2</v>
      </c>
      <c r="C186">
        <v>182.1</v>
      </c>
      <c r="D186" t="s">
        <v>11</v>
      </c>
      <c r="E186">
        <v>20</v>
      </c>
      <c r="F186">
        <v>34.1</v>
      </c>
      <c r="G186">
        <v>12.1</v>
      </c>
      <c r="H186">
        <v>21.7</v>
      </c>
      <c r="I186" t="s">
        <v>11</v>
      </c>
      <c r="J186" t="s">
        <v>11</v>
      </c>
      <c r="K186" t="s">
        <v>11</v>
      </c>
    </row>
    <row r="187" spans="1:11" x14ac:dyDescent="0.4">
      <c r="A187" s="3">
        <v>46208</v>
      </c>
      <c r="B187">
        <v>0.6</v>
      </c>
      <c r="C187">
        <v>182.7</v>
      </c>
      <c r="D187" t="s">
        <v>11</v>
      </c>
      <c r="E187">
        <v>20.399999999999999</v>
      </c>
      <c r="F187">
        <v>29.3</v>
      </c>
      <c r="G187">
        <v>17.100000000000001</v>
      </c>
      <c r="H187">
        <v>21.5</v>
      </c>
      <c r="I187" t="s">
        <v>11</v>
      </c>
      <c r="J187" t="s">
        <v>11</v>
      </c>
      <c r="K187" t="s">
        <v>11</v>
      </c>
    </row>
    <row r="188" spans="1:11" x14ac:dyDescent="0.4">
      <c r="A188" s="3">
        <v>46209</v>
      </c>
      <c r="B188">
        <v>0</v>
      </c>
      <c r="C188">
        <v>182.7</v>
      </c>
      <c r="D188" t="s">
        <v>11</v>
      </c>
      <c r="E188">
        <v>20.100000000000001</v>
      </c>
      <c r="F188">
        <v>29</v>
      </c>
      <c r="G188">
        <v>10.4</v>
      </c>
      <c r="H188">
        <v>21.4</v>
      </c>
      <c r="I188" t="s">
        <v>11</v>
      </c>
      <c r="J188" t="s">
        <v>11</v>
      </c>
      <c r="K188" t="s">
        <v>11</v>
      </c>
    </row>
    <row r="189" spans="1:11" x14ac:dyDescent="0.4">
      <c r="A189" s="3">
        <v>46210</v>
      </c>
      <c r="B189">
        <v>0</v>
      </c>
      <c r="C189">
        <v>182.7</v>
      </c>
      <c r="D189" t="s">
        <v>11</v>
      </c>
      <c r="E189">
        <v>19</v>
      </c>
      <c r="F189">
        <v>30.5</v>
      </c>
      <c r="G189">
        <v>7.8</v>
      </c>
      <c r="H189">
        <v>20.7</v>
      </c>
      <c r="I189" t="s">
        <v>11</v>
      </c>
      <c r="J189" t="s">
        <v>11</v>
      </c>
      <c r="K189" t="s">
        <v>11</v>
      </c>
    </row>
    <row r="190" spans="1:11" x14ac:dyDescent="0.4">
      <c r="A190" s="3">
        <v>46211</v>
      </c>
      <c r="B190">
        <v>0</v>
      </c>
      <c r="C190">
        <v>182.7</v>
      </c>
      <c r="D190" t="s">
        <v>11</v>
      </c>
      <c r="E190">
        <v>20.2</v>
      </c>
      <c r="F190">
        <v>31.1</v>
      </c>
      <c r="G190">
        <v>9.4</v>
      </c>
      <c r="H190">
        <v>19.899999999999999</v>
      </c>
      <c r="I190" t="s">
        <v>11</v>
      </c>
      <c r="J190" t="s">
        <v>11</v>
      </c>
      <c r="K190" t="s">
        <v>11</v>
      </c>
    </row>
    <row r="191" spans="1:11" x14ac:dyDescent="0.4">
      <c r="A191" s="3">
        <v>46212</v>
      </c>
      <c r="B191">
        <v>9.3000000000000007</v>
      </c>
      <c r="C191">
        <v>192</v>
      </c>
      <c r="D191" t="s">
        <v>11</v>
      </c>
      <c r="E191">
        <v>17.600000000000001</v>
      </c>
      <c r="F191">
        <v>28.5</v>
      </c>
      <c r="G191">
        <v>9.5</v>
      </c>
      <c r="H191">
        <v>19.5</v>
      </c>
      <c r="I191" t="s">
        <v>11</v>
      </c>
      <c r="J191" t="s">
        <v>11</v>
      </c>
      <c r="K191" t="s">
        <v>11</v>
      </c>
    </row>
    <row r="192" spans="1:11" x14ac:dyDescent="0.4">
      <c r="A192" s="3">
        <v>46213</v>
      </c>
      <c r="B192">
        <v>0</v>
      </c>
      <c r="C192">
        <v>192</v>
      </c>
      <c r="D192" t="s">
        <v>11</v>
      </c>
      <c r="E192">
        <v>20.399999999999999</v>
      </c>
      <c r="F192">
        <v>30.7</v>
      </c>
      <c r="G192">
        <v>12.7</v>
      </c>
      <c r="H192">
        <v>19.5</v>
      </c>
      <c r="I192" t="s">
        <v>11</v>
      </c>
      <c r="J192" t="s">
        <v>11</v>
      </c>
      <c r="K192" t="s">
        <v>11</v>
      </c>
    </row>
    <row r="193" spans="1:11" x14ac:dyDescent="0.4">
      <c r="A193" s="3">
        <v>46214</v>
      </c>
      <c r="B193">
        <v>0</v>
      </c>
      <c r="C193">
        <v>192</v>
      </c>
      <c r="D193" t="s">
        <v>11</v>
      </c>
      <c r="E193">
        <v>20</v>
      </c>
      <c r="F193">
        <v>30.4</v>
      </c>
      <c r="G193">
        <v>7.7</v>
      </c>
      <c r="H193">
        <v>19.399999999999999</v>
      </c>
      <c r="I193" t="s">
        <v>11</v>
      </c>
      <c r="J193" t="s">
        <v>11</v>
      </c>
      <c r="K193" t="s">
        <v>11</v>
      </c>
    </row>
    <row r="194" spans="1:11" x14ac:dyDescent="0.4">
      <c r="A194" s="3">
        <v>46215</v>
      </c>
      <c r="B194">
        <v>0</v>
      </c>
      <c r="C194">
        <v>192</v>
      </c>
      <c r="D194" t="s">
        <v>11</v>
      </c>
      <c r="E194">
        <v>20.2</v>
      </c>
      <c r="F194">
        <v>30.7</v>
      </c>
      <c r="G194">
        <v>7.8</v>
      </c>
      <c r="H194">
        <v>19.7</v>
      </c>
      <c r="I194" t="s">
        <v>11</v>
      </c>
      <c r="J194" t="s">
        <v>11</v>
      </c>
      <c r="K194" t="s">
        <v>11</v>
      </c>
    </row>
    <row r="195" spans="1:11" x14ac:dyDescent="0.4">
      <c r="A195" s="3">
        <v>46216</v>
      </c>
      <c r="B195">
        <v>0</v>
      </c>
      <c r="C195">
        <v>192</v>
      </c>
      <c r="D195" t="s">
        <v>11</v>
      </c>
      <c r="E195">
        <v>21</v>
      </c>
      <c r="F195">
        <v>33.299999999999997</v>
      </c>
      <c r="G195">
        <v>7</v>
      </c>
      <c r="H195">
        <v>19.8</v>
      </c>
      <c r="I195" t="s">
        <v>11</v>
      </c>
      <c r="J195" t="s">
        <v>11</v>
      </c>
      <c r="K195" t="s">
        <v>11</v>
      </c>
    </row>
  </sheetData>
  <autoFilter ref="A1:K195" xr:uid="{F66CBCCA-8919-440A-A505-5E806EAEC4B2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多地对比</vt:lpstr>
      <vt:lpstr>禾木筛选</vt:lpstr>
      <vt:lpstr>禾木原始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Long</dc:creator>
  <cp:lastModifiedBy>Jonas Long</cp:lastModifiedBy>
  <dcterms:created xsi:type="dcterms:W3CDTF">2026-07-14T07:10:20Z</dcterms:created>
  <dcterms:modified xsi:type="dcterms:W3CDTF">2026-07-14T11:18:43Z</dcterms:modified>
</cp:coreProperties>
</file>