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16793CC4-193F-4845-9CDA-5CCA4BD5E51D}" xr6:coauthVersionLast="47" xr6:coauthVersionMax="47" xr10:uidLastSave="{00000000-0000-0000-0000-000000000000}"/>
  <bookViews>
    <workbookView xWindow="-98" yWindow="-98" windowWidth="21795" windowHeight="12975" xr2:uid="{61358E34-2C71-424E-88ED-402A34315E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1" l="1"/>
  <c r="B12" i="1"/>
  <c r="H5" i="1"/>
  <c r="H6" i="1"/>
  <c r="H7" i="1"/>
  <c r="H9" i="1"/>
  <c r="H10" i="1"/>
  <c r="H11" i="1"/>
  <c r="H4" i="1"/>
  <c r="I3" i="1" l="1"/>
</calcChain>
</file>

<file path=xl/sharedStrings.xml><?xml version="1.0" encoding="utf-8"?>
<sst xmlns="http://schemas.openxmlformats.org/spreadsheetml/2006/main" count="38" uniqueCount="27">
  <si>
    <t>爆发力</t>
    <phoneticPr fontId="1" type="noConversion"/>
  </si>
  <si>
    <t>稳定性</t>
    <phoneticPr fontId="1" type="noConversion"/>
  </si>
  <si>
    <t>重要性权重</t>
    <phoneticPr fontId="1" type="noConversion"/>
  </si>
  <si>
    <t>比冷项(°C)</t>
    <phoneticPr fontId="1" type="noConversion"/>
  </si>
  <si>
    <t>冷能力</t>
    <phoneticPr fontId="1" type="noConversion"/>
  </si>
  <si>
    <t>喜冷向比冷权重</t>
    <phoneticPr fontId="1" type="noConversion"/>
  </si>
  <si>
    <t>2026-09-04 by @蒙古冷迷</t>
    <phoneticPr fontId="1" type="noConversion"/>
  </si>
  <si>
    <r>
      <t>平均每冬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</si>
  <si>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t>历史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</si>
  <si>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t>最冷月份平均气温</t>
    <phoneticPr fontId="1" type="noConversion"/>
  </si>
  <si>
    <t>冬三月平均气温</t>
    <phoneticPr fontId="1" type="noConversion"/>
  </si>
  <si>
    <t>年平均气温</t>
    <phoneticPr fontId="1" type="noConversion"/>
  </si>
  <si>
    <r>
      <t>平均每冬最低</t>
    </r>
    <r>
      <rPr>
        <b/>
        <sz val="16"/>
        <color rgb="FFC00000"/>
        <rFont val="等线"/>
        <family val="3"/>
        <charset val="134"/>
        <scheme val="minor"/>
      </rPr>
      <t>昼</t>
    </r>
    <r>
      <rPr>
        <b/>
        <sz val="16"/>
        <color theme="1"/>
        <rFont val="等线"/>
        <family val="3"/>
        <charset val="134"/>
        <scheme val="minor"/>
      </rPr>
      <t>温</t>
    </r>
    <phoneticPr fontId="1" type="noConversion"/>
  </si>
  <si>
    <t>夏冷
持久性</t>
    <phoneticPr fontId="1" type="noConversion"/>
  </si>
  <si>
    <r>
      <rPr>
        <b/>
        <sz val="16"/>
        <color rgb="FF4361EE"/>
        <rFont val="等线"/>
        <family val="3"/>
        <charset val="134"/>
        <scheme val="minor"/>
      </rPr>
      <t>稳定性</t>
    </r>
    <r>
      <rPr>
        <b/>
        <sz val="16"/>
        <rFont val="等线"/>
        <family val="3"/>
        <charset val="134"/>
        <scheme val="minor"/>
      </rPr>
      <t xml:space="preserve">
持久性</t>
    </r>
    <phoneticPr fontId="1" type="noConversion"/>
  </si>
  <si>
    <r>
      <t xml:space="preserve">昼温
</t>
    </r>
    <r>
      <rPr>
        <b/>
        <sz val="16"/>
        <color rgb="FF4361EE"/>
        <rFont val="等线"/>
        <family val="3"/>
        <charset val="134"/>
        <scheme val="minor"/>
      </rPr>
      <t>稳定性</t>
    </r>
    <phoneticPr fontId="1" type="noConversion"/>
  </si>
  <si>
    <r>
      <t xml:space="preserve">昼温
</t>
    </r>
    <r>
      <rPr>
        <b/>
        <sz val="16"/>
        <color rgb="FFF72585"/>
        <rFont val="等线"/>
        <family val="3"/>
        <charset val="134"/>
        <scheme val="minor"/>
      </rPr>
      <t>爆发力</t>
    </r>
    <phoneticPr fontId="1" type="noConversion"/>
  </si>
  <si>
    <t>图里河</t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</si>
  <si>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最冷月份</t>
    </r>
    <r>
      <rPr>
        <b/>
        <sz val="16"/>
        <color theme="1"/>
        <rFont val="等线"/>
        <family val="3"/>
        <charset val="134"/>
        <scheme val="minor"/>
      </rPr>
      <t xml:space="preserve">
历史</t>
    </r>
    <r>
      <rPr>
        <b/>
        <sz val="16"/>
        <color rgb="FFC00000"/>
        <rFont val="等线"/>
        <family val="3"/>
        <charset val="134"/>
        <scheme val="minor"/>
      </rPr>
      <t>最高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</si>
  <si>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历史极端冷月</t>
    </r>
    <r>
      <rPr>
        <b/>
        <sz val="16"/>
        <color theme="1"/>
        <rFont val="等线"/>
        <family val="3"/>
        <charset val="134"/>
        <scheme val="minor"/>
      </rPr>
      <t xml:space="preserve">
平均气温</t>
    </r>
    <phoneticPr fontId="1" type="noConversion"/>
  </si>
  <si>
    <t>差值</t>
    <phoneticPr fontId="1" type="noConversion"/>
  </si>
  <si>
    <t>A</t>
    <phoneticPr fontId="1" type="noConversion"/>
  </si>
  <si>
    <t>B</t>
    <phoneticPr fontId="1" type="noConversion"/>
  </si>
  <si>
    <t>A的领先幅度</t>
    <phoneticPr fontId="1" type="noConversion"/>
  </si>
  <si>
    <t>.</t>
    <phoneticPr fontId="1" type="noConversion"/>
  </si>
  <si>
    <t>卡丘格</t>
    <phoneticPr fontId="1" type="noConversion"/>
  </si>
  <si>
    <t>常年使用 1991-2020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</si>
</sst>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b/>
      <sz val="16"/>
      <color rgb="FF4361EE"/>
      <name val="等线"/>
      <family val="3"/>
      <charset val="134"/>
      <scheme val="minor"/>
    </font>
    <font>
      <b/>
      <sz val="16"/>
      <color rgb="FFC00000"/>
      <name val="等线"/>
      <family val="3"/>
      <charset val="134"/>
      <scheme val="minor"/>
    </font>
    <font>
      <b/>
      <sz val="16"/>
      <color rgb="FFF72585"/>
      <name val="等线"/>
      <family val="3"/>
      <charset val="134"/>
      <scheme val="minor"/>
    </font>
    <font>
      <b/>
      <sz val="20"/>
      <color rgb="FFFF0000"/>
      <name val="等线"/>
      <family val="3"/>
      <charset val="134"/>
      <scheme val="minor"/>
    </font>
    <font>
      <b/>
      <sz val="16"/>
      <name val="等线"/>
      <family val="3"/>
      <charset val="134"/>
      <scheme val="minor"/>
    </font>
    <font>
      <b/>
      <sz val="36"/>
      <color theme="1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rgb="FFB5179E"/>
      <name val="等线"/>
      <family val="3"/>
      <charset val="134"/>
      <scheme val="minor"/>
    </font>
    <font>
      <b/>
      <sz val="32"/>
      <color rgb="FF7209B7"/>
      <name val="等线"/>
      <family val="3"/>
      <charset val="134"/>
      <scheme val="minor"/>
    </font>
    <font>
      <b/>
      <sz val="32"/>
      <color rgb="FF4361EE"/>
      <name val="等线"/>
      <family val="3"/>
      <charset val="134"/>
      <scheme val="minor"/>
    </font>
    <font>
      <b/>
      <sz val="16"/>
      <color theme="1" tint="0.499984740745262"/>
      <name val="等线"/>
      <family val="3"/>
      <charset val="134"/>
      <scheme val="minor"/>
    </font>
    <font>
      <b/>
      <sz val="16"/>
      <color rgb="FFFF00FF"/>
      <name val="等线"/>
      <family val="3"/>
      <charset val="134"/>
      <scheme val="minor"/>
    </font>
    <font>
      <b/>
      <sz val="13"/>
      <color rgb="FF3F37C9"/>
      <name val="等线"/>
      <family val="3"/>
      <charset val="134"/>
      <scheme val="minor"/>
    </font>
    <font>
      <b/>
      <sz val="16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9" fontId="12" fillId="0" borderId="0" xfId="0" applyNumberFormat="1" applyFont="1">
      <alignment vertical="center"/>
    </xf>
    <xf numFmtId="176" fontId="13" fillId="0" borderId="1" xfId="0" applyNumberFormat="1" applyFont="1" applyBorder="1" applyAlignment="1">
      <alignment horizontal="right" vertical="center" indent="1"/>
    </xf>
    <xf numFmtId="176" fontId="14" fillId="0" borderId="1" xfId="0" applyNumberFormat="1" applyFont="1" applyBorder="1" applyAlignment="1">
      <alignment horizontal="right" vertical="center" indent="1"/>
    </xf>
    <xf numFmtId="176" fontId="15" fillId="0" borderId="1" xfId="0" applyNumberFormat="1" applyFont="1" applyBorder="1" applyAlignment="1">
      <alignment horizontal="right" vertical="center" indent="1"/>
    </xf>
    <xf numFmtId="176" fontId="16" fillId="0" borderId="1" xfId="0" applyNumberFormat="1" applyFont="1" applyBorder="1" applyAlignment="1">
      <alignment horizontal="right" vertical="center" indent="1"/>
    </xf>
    <xf numFmtId="0" fontId="2" fillId="0" borderId="1" xfId="0" applyFont="1" applyBorder="1" applyAlignment="1">
      <alignment vertical="top"/>
    </xf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 vertical="top"/>
    </xf>
    <xf numFmtId="0" fontId="6" fillId="2" borderId="8" xfId="0" applyFont="1" applyFill="1" applyBorder="1" applyAlignment="1">
      <alignment horizontal="center" vertical="top"/>
    </xf>
    <xf numFmtId="0" fontId="20" fillId="0" borderId="1" xfId="0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FF"/>
      <color rgb="FF3F37C9"/>
      <color rgb="FF7209B7"/>
      <color rgb="FFF72585"/>
      <color rgb="FF4361EE"/>
      <color rgb="FF3A0CA3"/>
      <color rgb="FF480CA8"/>
      <color rgb="FF560BAD"/>
      <color rgb="FF4895EF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45DB-23E0-4275-8605-818D25F42E67}">
  <dimension ref="A1:I12"/>
  <sheetViews>
    <sheetView tabSelected="1" workbookViewId="0">
      <selection sqref="A1:C1"/>
    </sheetView>
  </sheetViews>
  <sheetFormatPr defaultRowHeight="13.9" x14ac:dyDescent="0.4"/>
  <cols>
    <col min="1" max="1" width="24.59765625" style="1" customWidth="1"/>
    <col min="2" max="2" width="20.59765625" style="1" customWidth="1"/>
    <col min="3" max="3" width="14.59765625" style="1" customWidth="1"/>
    <col min="4" max="4" width="9.06640625" style="1"/>
    <col min="5" max="7" width="24.59765625" style="1" customWidth="1"/>
    <col min="8" max="8" width="9.06640625" style="1"/>
    <col min="9" max="9" width="16.59765625" style="1" customWidth="1"/>
    <col min="10" max="16384" width="9.06640625" style="1"/>
  </cols>
  <sheetData>
    <row r="1" spans="1:9" ht="34.049999999999997" customHeight="1" x14ac:dyDescent="0.8">
      <c r="A1" s="26" t="s">
        <v>5</v>
      </c>
      <c r="B1" s="27"/>
      <c r="C1" s="28"/>
    </row>
    <row r="2" spans="1:9" s="3" customFormat="1" ht="20" customHeight="1" x14ac:dyDescent="0.4">
      <c r="A2" s="29" t="s">
        <v>6</v>
      </c>
      <c r="B2" s="30"/>
      <c r="C2" s="31"/>
      <c r="E2" s="16" t="s">
        <v>26</v>
      </c>
      <c r="F2" s="17" t="s">
        <v>21</v>
      </c>
      <c r="G2" s="17" t="s">
        <v>22</v>
      </c>
      <c r="H2" s="18" t="s">
        <v>24</v>
      </c>
      <c r="I2" s="17" t="s">
        <v>23</v>
      </c>
    </row>
    <row r="3" spans="1:9" s="2" customFormat="1" ht="40.049999999999997" customHeight="1" x14ac:dyDescent="0.4">
      <c r="A3" s="6" t="s">
        <v>3</v>
      </c>
      <c r="B3" s="6" t="s">
        <v>2</v>
      </c>
      <c r="C3" s="6" t="s">
        <v>4</v>
      </c>
      <c r="E3" s="19" t="s">
        <v>3</v>
      </c>
      <c r="F3" s="19" t="s">
        <v>17</v>
      </c>
      <c r="G3" s="19" t="s">
        <v>25</v>
      </c>
      <c r="H3" s="19" t="s">
        <v>20</v>
      </c>
      <c r="I3" s="20">
        <f xml:space="preserve"> B4*H4 + B5*H5 + B6*H6 + B7*H7 + B8*H8 + B9*H9 + B10*H10 + B11*H11</f>
        <v>-0.8350000000000003</v>
      </c>
    </row>
    <row r="4" spans="1:9" ht="40.049999999999997" customHeight="1" x14ac:dyDescent="0.4">
      <c r="A4" s="4" t="s">
        <v>9</v>
      </c>
      <c r="B4" s="12">
        <v>0.25</v>
      </c>
      <c r="C4" s="7" t="s">
        <v>1</v>
      </c>
      <c r="E4" s="4" t="s">
        <v>9</v>
      </c>
      <c r="F4" s="21">
        <v>-28.2</v>
      </c>
      <c r="G4" s="22">
        <v>-27.9</v>
      </c>
      <c r="H4" s="24">
        <f>G4-F4</f>
        <v>0.30000000000000071</v>
      </c>
      <c r="I4" s="23"/>
    </row>
    <row r="5" spans="1:9" ht="40.049999999999997" customHeight="1" x14ac:dyDescent="0.4">
      <c r="A5" s="4" t="s">
        <v>7</v>
      </c>
      <c r="B5" s="13">
        <v>0.2</v>
      </c>
      <c r="C5" s="9" t="s">
        <v>0</v>
      </c>
      <c r="E5" s="4" t="s">
        <v>7</v>
      </c>
      <c r="F5" s="25">
        <v>-44.8</v>
      </c>
      <c r="G5" s="21">
        <v>-45.1</v>
      </c>
      <c r="H5" s="24">
        <f t="shared" ref="H5:H11" si="0">G5-F5</f>
        <v>-0.30000000000000426</v>
      </c>
      <c r="I5" s="23"/>
    </row>
    <row r="6" spans="1:9" ht="40.049999999999997" customHeight="1" x14ac:dyDescent="0.4">
      <c r="A6" s="4" t="s">
        <v>19</v>
      </c>
      <c r="B6" s="14">
        <v>0.15</v>
      </c>
      <c r="C6" s="8" t="s">
        <v>0</v>
      </c>
      <c r="E6" s="4" t="s">
        <v>19</v>
      </c>
      <c r="F6" s="25">
        <v>-36</v>
      </c>
      <c r="G6" s="21">
        <v>-36.299999999999997</v>
      </c>
      <c r="H6" s="24">
        <f t="shared" si="0"/>
        <v>-0.29999999999999716</v>
      </c>
      <c r="I6" s="23"/>
    </row>
    <row r="7" spans="1:9" ht="40.049999999999997" customHeight="1" x14ac:dyDescent="0.4">
      <c r="A7" s="4" t="s">
        <v>10</v>
      </c>
      <c r="B7" s="14">
        <v>0.15</v>
      </c>
      <c r="C7" s="10" t="s">
        <v>14</v>
      </c>
      <c r="E7" s="4" t="s">
        <v>10</v>
      </c>
      <c r="F7" s="21">
        <v>-25.7</v>
      </c>
      <c r="G7" s="22">
        <v>-25.4</v>
      </c>
      <c r="H7" s="24">
        <f t="shared" si="0"/>
        <v>0.30000000000000071</v>
      </c>
      <c r="I7" s="23"/>
    </row>
    <row r="8" spans="1:9" ht="40.049999999999997" customHeight="1" x14ac:dyDescent="0.4">
      <c r="A8" s="4" t="s">
        <v>12</v>
      </c>
      <c r="B8" s="14">
        <v>0.1</v>
      </c>
      <c r="C8" s="10" t="s">
        <v>16</v>
      </c>
      <c r="E8" s="4" t="s">
        <v>12</v>
      </c>
      <c r="F8" s="22">
        <v>-27.2</v>
      </c>
      <c r="G8" s="21">
        <v>-36.6</v>
      </c>
      <c r="H8" s="24">
        <f t="shared" si="0"/>
        <v>-9.4000000000000021</v>
      </c>
      <c r="I8" s="23"/>
    </row>
    <row r="9" spans="1:9" ht="40.049999999999997" customHeight="1" x14ac:dyDescent="0.4">
      <c r="A9" s="4" t="s">
        <v>18</v>
      </c>
      <c r="B9" s="15">
        <v>0.05</v>
      </c>
      <c r="C9" s="10" t="s">
        <v>15</v>
      </c>
      <c r="E9" s="4" t="s">
        <v>18</v>
      </c>
      <c r="F9" s="21">
        <v>-3.3</v>
      </c>
      <c r="G9" s="32">
        <v>-0.7</v>
      </c>
      <c r="H9" s="24">
        <f t="shared" si="0"/>
        <v>2.5999999999999996</v>
      </c>
      <c r="I9" s="23"/>
    </row>
    <row r="10" spans="1:9" ht="40.049999999999997" customHeight="1" x14ac:dyDescent="0.4">
      <c r="A10" s="5" t="s">
        <v>8</v>
      </c>
      <c r="B10" s="15">
        <v>0.05</v>
      </c>
      <c r="C10" s="9" t="s">
        <v>0</v>
      </c>
      <c r="E10" s="5" t="s">
        <v>8</v>
      </c>
      <c r="F10" s="22">
        <v>-50.2</v>
      </c>
      <c r="G10" s="21">
        <v>-51.5</v>
      </c>
      <c r="H10" s="24">
        <f t="shared" si="0"/>
        <v>-1.2999999999999972</v>
      </c>
      <c r="I10" s="23"/>
    </row>
    <row r="11" spans="1:9" ht="40.049999999999997" customHeight="1" x14ac:dyDescent="0.4">
      <c r="A11" s="4" t="s">
        <v>11</v>
      </c>
      <c r="B11" s="15">
        <v>0.05</v>
      </c>
      <c r="C11" s="10" t="s">
        <v>13</v>
      </c>
      <c r="E11" s="4" t="s">
        <v>11</v>
      </c>
      <c r="F11" s="21">
        <v>-3.7</v>
      </c>
      <c r="G11" s="22">
        <v>-3.2</v>
      </c>
      <c r="H11" s="24">
        <f t="shared" si="0"/>
        <v>0.5</v>
      </c>
      <c r="I11" s="23"/>
    </row>
    <row r="12" spans="1:9" ht="44" customHeight="1" x14ac:dyDescent="0.4">
      <c r="B12" s="11">
        <f>SUM(B4:B11)</f>
        <v>1</v>
      </c>
    </row>
  </sheetData>
  <mergeCells count="2">
    <mergeCell ref="A1:C1"/>
    <mergeCell ref="A2:C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2026-09-03T15:50:53Z</dcterms:created>
  <dcterms:modified xsi:type="dcterms:W3CDTF">2026-09-04T03:38:46Z</dcterms:modified>
</cp:coreProperties>
</file>