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F326BCE6-C89E-44B9-ACC5-1E14777E3B1C}" xr6:coauthVersionLast="47" xr6:coauthVersionMax="47" xr10:uidLastSave="{00000000-0000-0000-0000-000000000000}"/>
  <bookViews>
    <workbookView xWindow="-98" yWindow="-98" windowWidth="21795" windowHeight="12975" xr2:uid="{61358E34-2C71-424E-88ED-402A34315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H5" i="1"/>
  <c r="H1" i="1" s="1"/>
  <c r="H6" i="1"/>
  <c r="H7" i="1"/>
  <c r="H8" i="1"/>
  <c r="H9" i="1"/>
  <c r="H10" i="1"/>
  <c r="H11" i="1"/>
  <c r="H4" i="1"/>
  <c r="B12" i="1"/>
  <c r="F12" i="1" l="1" a="1"/>
  <c r="F12" i="1" s="1"/>
  <c r="G12" i="1" a="1"/>
  <c r="G12" i="1" s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<sst xmlns="http://schemas.openxmlformats.org/spreadsheetml/2006/main" count="40" uniqueCount="35">
  <si>
    <t>爆发力</t>
    <phoneticPr fontId="1" type="noConversion"/>
  </si>
  <si>
    <t>稳定性</t>
    <phoneticPr fontId="1" type="noConversion"/>
  </si>
  <si>
    <t>重要性权重</t>
    <phoneticPr fontId="1" type="noConversion"/>
  </si>
  <si>
    <t>比冷项(°C)</t>
    <phoneticPr fontId="1" type="noConversion"/>
  </si>
  <si>
    <t>冷能力</t>
    <phoneticPr fontId="1" type="noConversion"/>
  </si>
  <si>
    <t>喜冷向比冷权重</t>
    <phoneticPr fontId="1" type="noConversion"/>
  </si>
  <si>
    <t>最冷月份平均气温</t>
    <phoneticPr fontId="1" type="noConversion"/>
  </si>
  <si>
    <t>年平均气温</t>
    <phoneticPr fontId="1" type="noConversion"/>
  </si>
  <si>
    <t>夏冷
持久性</t>
    <phoneticPr fontId="1" type="noConversion"/>
  </si>
  <si>
    <r>
      <rPr>
        <b/>
        <sz val="16"/>
        <color rgb="FF4361EE"/>
        <rFont val="等线"/>
        <family val="3"/>
        <charset val="134"/>
        <scheme val="minor"/>
      </rPr>
      <t>稳定性</t>
    </r>
    <r>
      <rPr>
        <b/>
        <sz val="16"/>
        <rFont val="等线"/>
        <family val="3"/>
        <charset val="134"/>
        <scheme val="minor"/>
      </rPr>
      <t xml:space="preserve">
持久性</t>
    </r>
    <phoneticPr fontId="1" type="noConversion"/>
  </si>
  <si>
    <r>
      <t xml:space="preserve">昼温
</t>
    </r>
    <r>
      <rPr>
        <b/>
        <sz val="16"/>
        <color rgb="FF4361EE"/>
        <rFont val="等线"/>
        <family val="3"/>
        <charset val="134"/>
        <scheme val="minor"/>
      </rPr>
      <t>稳定性</t>
    </r>
    <phoneticPr fontId="1" type="noConversion"/>
  </si>
  <si>
    <r>
      <t xml:space="preserve">昼温
</t>
    </r>
    <r>
      <rPr>
        <b/>
        <sz val="16"/>
        <color rgb="FFF72585"/>
        <rFont val="等线"/>
        <family val="3"/>
        <charset val="134"/>
        <scheme val="minor"/>
      </rPr>
      <t>爆发力</t>
    </r>
    <phoneticPr fontId="1" type="noConversion"/>
  </si>
  <si>
    <t>1991~2020
一月平均气温</t>
    <phoneticPr fontId="1" type="noConversion"/>
  </si>
  <si>
    <t>1991~2020
冬三月平均气温</t>
    <phoneticPr fontId="1" type="noConversion"/>
  </si>
  <si>
    <t>历史极端冷冬
冬三月平均气温</t>
    <phoneticPr fontId="1" type="noConversion"/>
  </si>
  <si>
    <t>权重</t>
    <phoneticPr fontId="1" type="noConversion"/>
  </si>
  <si>
    <t>最冷月份
历史最高气温</t>
    <phoneticPr fontId="1" type="noConversion"/>
  </si>
  <si>
    <r>
      <t>平均每冬</t>
    </r>
    <r>
      <rPr>
        <b/>
        <sz val="16"/>
        <color rgb="FF0070C0"/>
        <rFont val="等线"/>
        <family val="3"/>
        <charset val="134"/>
        <scheme val="minor"/>
      </rPr>
      <t>最低</t>
    </r>
    <r>
      <rPr>
        <b/>
        <sz val="16"/>
        <rFont val="等线"/>
        <family val="3"/>
        <charset val="134"/>
        <scheme val="minor"/>
      </rPr>
      <t>气温</t>
    </r>
    <phoneticPr fontId="1" type="noConversion"/>
  </si>
  <si>
    <r>
      <t>平均每冬最低</t>
    </r>
    <r>
      <rPr>
        <b/>
        <sz val="16"/>
        <color rgb="FF0070C0"/>
        <rFont val="等线"/>
        <family val="3"/>
        <charset val="134"/>
        <scheme val="minor"/>
      </rPr>
      <t>昼温</t>
    </r>
    <phoneticPr fontId="1" type="noConversion"/>
  </si>
  <si>
    <r>
      <rPr>
        <b/>
        <sz val="16"/>
        <color rgb="FF0070C0"/>
        <rFont val="等线"/>
        <family val="3"/>
        <charset val="134"/>
        <scheme val="minor"/>
      </rPr>
      <t>冬三月</t>
    </r>
    <r>
      <rPr>
        <b/>
        <sz val="16"/>
        <rFont val="等线"/>
        <family val="3"/>
        <charset val="134"/>
        <scheme val="minor"/>
      </rPr>
      <t>平均气温</t>
    </r>
    <phoneticPr fontId="1" type="noConversion"/>
  </si>
  <si>
    <r>
      <t>历史极端</t>
    </r>
    <r>
      <rPr>
        <b/>
        <sz val="16"/>
        <color rgb="FF0070C0"/>
        <rFont val="等线"/>
        <family val="3"/>
        <charset val="134"/>
        <scheme val="minor"/>
      </rPr>
      <t>冷月</t>
    </r>
    <r>
      <rPr>
        <b/>
        <sz val="16"/>
        <rFont val="等线"/>
        <family val="3"/>
        <charset val="134"/>
        <scheme val="minor"/>
      </rPr>
      <t xml:space="preserve">
平均气温</t>
    </r>
    <phoneticPr fontId="1" type="noConversion"/>
  </si>
  <si>
    <t>1991~2020
年平均气温</t>
    <phoneticPr fontId="1" type="noConversion"/>
  </si>
  <si>
    <t>最冷月份
平均气温</t>
    <phoneticPr fontId="1" type="noConversion"/>
  </si>
  <si>
    <r>
      <t>历史极端</t>
    </r>
    <r>
      <rPr>
        <b/>
        <sz val="20"/>
        <color rgb="FF0070C0"/>
        <rFont val="等线"/>
        <family val="3"/>
        <charset val="134"/>
        <scheme val="minor"/>
      </rPr>
      <t>冷月</t>
    </r>
    <r>
      <rPr>
        <b/>
        <sz val="20"/>
        <rFont val="等线"/>
        <family val="3"/>
        <charset val="134"/>
        <scheme val="minor"/>
      </rPr>
      <t xml:space="preserve">
平均气温</t>
    </r>
    <phoneticPr fontId="1" type="noConversion"/>
  </si>
  <si>
    <r>
      <rPr>
        <b/>
        <sz val="20"/>
        <color rgb="FF0070C0"/>
        <rFont val="等线"/>
        <family val="3"/>
        <charset val="134"/>
        <scheme val="minor"/>
      </rPr>
      <t xml:space="preserve">冬三月
</t>
    </r>
    <r>
      <rPr>
        <b/>
        <sz val="20"/>
        <rFont val="等线"/>
        <family val="3"/>
        <charset val="134"/>
        <scheme val="minor"/>
      </rPr>
      <t>平均气温</t>
    </r>
    <phoneticPr fontId="1" type="noConversion"/>
  </si>
  <si>
    <r>
      <t>平均
每冬最低</t>
    </r>
    <r>
      <rPr>
        <b/>
        <sz val="20"/>
        <color rgb="FF0070C0"/>
        <rFont val="等线"/>
        <family val="3"/>
        <charset val="134"/>
        <scheme val="minor"/>
      </rPr>
      <t>昼温</t>
    </r>
    <phoneticPr fontId="1" type="noConversion"/>
  </si>
  <si>
    <r>
      <t>平均
每冬</t>
    </r>
    <r>
      <rPr>
        <b/>
        <sz val="20"/>
        <color rgb="FF0070C0"/>
        <rFont val="等线"/>
        <family val="3"/>
        <charset val="134"/>
        <scheme val="minor"/>
      </rPr>
      <t>最低</t>
    </r>
    <r>
      <rPr>
        <b/>
        <sz val="20"/>
        <rFont val="等线"/>
        <family val="3"/>
        <charset val="134"/>
        <scheme val="minor"/>
      </rPr>
      <t>气温</t>
    </r>
    <phoneticPr fontId="1" type="noConversion"/>
  </si>
  <si>
    <r>
      <rPr>
        <b/>
        <sz val="20"/>
        <color rgb="FF0070C0"/>
        <rFont val="等线"/>
        <family val="3"/>
        <charset val="134"/>
        <scheme val="minor"/>
      </rPr>
      <t>历史最低</t>
    </r>
    <r>
      <rPr>
        <b/>
        <sz val="20"/>
        <rFont val="等线"/>
        <family val="3"/>
        <charset val="134"/>
        <scheme val="minor"/>
      </rPr>
      <t>气温</t>
    </r>
    <phoneticPr fontId="1" type="noConversion"/>
  </si>
  <si>
    <r>
      <rPr>
        <b/>
        <sz val="16"/>
        <color rgb="FF0070C0"/>
        <rFont val="等线"/>
        <family val="3"/>
        <charset val="134"/>
        <scheme val="minor"/>
      </rPr>
      <t>历史最低</t>
    </r>
    <r>
      <rPr>
        <b/>
        <sz val="16"/>
        <rFont val="等线"/>
        <family val="3"/>
        <charset val="134"/>
        <scheme val="minor"/>
      </rPr>
      <t>气温</t>
    </r>
    <phoneticPr fontId="1" type="noConversion"/>
  </si>
  <si>
    <t>高阶寒冷PK</t>
    <phoneticPr fontId="1" type="noConversion"/>
  </si>
  <si>
    <t>综合得分
(相对0的优势分)</t>
    <phoneticPr fontId="1" type="noConversion"/>
  </si>
  <si>
    <t>PK净胜总分</t>
    <phoneticPr fontId="1" type="noConversion"/>
  </si>
  <si>
    <t>哈尔滨</t>
    <phoneticPr fontId="1" type="noConversion"/>
  </si>
  <si>
    <t>阿勒泰</t>
    <phoneticPr fontId="1" type="noConversion"/>
  </si>
  <si>
    <r>
      <t xml:space="preserve">常年: 1991~2020
</t>
    </r>
    <r>
      <rPr>
        <b/>
        <sz val="12"/>
        <color theme="0" tint="-0.14999847407452621"/>
        <rFont val="等线"/>
        <family val="3"/>
        <charset val="134"/>
        <scheme val="minor"/>
      </rPr>
      <t>极值不受年份限制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</si>
</sst>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00"/>
  </numFmts>
  <fonts count="2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4"/>
      <color rgb="FFFFFF00"/>
      <name val="等线"/>
      <family val="3"/>
      <charset val="134"/>
      <scheme val="minor"/>
    </font>
    <font>
      <b/>
      <sz val="16"/>
      <color rgb="FF4361EE"/>
      <name val="等线"/>
      <family val="3"/>
      <charset val="134"/>
      <scheme val="minor"/>
    </font>
    <font>
      <b/>
      <sz val="16"/>
      <color rgb="FFF72585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b/>
      <sz val="32"/>
      <color rgb="FFF72585"/>
      <name val="等线"/>
      <family val="3"/>
      <charset val="134"/>
      <scheme val="minor"/>
    </font>
    <font>
      <b/>
      <sz val="32"/>
      <color rgb="FFB5179E"/>
      <name val="等线"/>
      <family val="3"/>
      <charset val="134"/>
      <scheme val="minor"/>
    </font>
    <font>
      <b/>
      <sz val="32"/>
      <color rgb="FF7209B7"/>
      <name val="等线"/>
      <family val="3"/>
      <charset val="134"/>
      <scheme val="minor"/>
    </font>
    <font>
      <b/>
      <sz val="32"/>
      <color rgb="FF4361EE"/>
      <name val="等线"/>
      <family val="3"/>
      <charset val="134"/>
      <scheme val="minor"/>
    </font>
    <font>
      <b/>
      <sz val="24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6"/>
      <color rgb="FF0070C0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  <font>
      <b/>
      <sz val="20"/>
      <color rgb="FF0070C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2"/>
      <color theme="0" tint="-0.14999847407452621"/>
      <name val="等线"/>
      <family val="3"/>
      <charset val="134"/>
      <scheme val="minor"/>
    </font>
    <font>
      <b/>
      <sz val="36"/>
      <color rgb="FFF72585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24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9" fontId="8" fillId="0" borderId="0" xfId="0" applyNumberFormat="1" applyFont="1">
      <alignment vertical="center"/>
    </xf>
    <xf numFmtId="176" fontId="9" fillId="0" borderId="1" xfId="0" applyNumberFormat="1" applyFont="1" applyBorder="1" applyAlignment="1">
      <alignment horizontal="right" vertical="center" indent="1"/>
    </xf>
    <xf numFmtId="176" fontId="10" fillId="0" borderId="1" xfId="0" applyNumberFormat="1" applyFont="1" applyBorder="1" applyAlignment="1">
      <alignment horizontal="right" vertical="center" indent="1"/>
    </xf>
    <xf numFmtId="176" fontId="11" fillId="0" borderId="1" xfId="0" applyNumberFormat="1" applyFont="1" applyBorder="1" applyAlignment="1">
      <alignment horizontal="right" vertical="center" indent="1"/>
    </xf>
    <xf numFmtId="176" fontId="12" fillId="0" borderId="1" xfId="0" applyNumberFormat="1" applyFont="1" applyBorder="1" applyAlignment="1">
      <alignment horizontal="right" vertical="center" inden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/>
    </xf>
    <xf numFmtId="0" fontId="3" fillId="3" borderId="6" xfId="0" applyFont="1" applyFill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17" fillId="0" borderId="10" xfId="0" applyNumberFormat="1" applyFont="1" applyBorder="1" applyAlignment="1">
      <alignment horizontal="right" vertical="center" indent="1"/>
    </xf>
    <xf numFmtId="9" fontId="17" fillId="0" borderId="1" xfId="0" applyNumberFormat="1" applyFont="1" applyBorder="1" applyAlignment="1">
      <alignment horizontal="right" vertical="center" indent="1"/>
    </xf>
    <xf numFmtId="177" fontId="13" fillId="0" borderId="10" xfId="0" applyNumberFormat="1" applyFont="1" applyBorder="1" applyAlignment="1">
      <alignment horizontal="right" vertical="center" indent="1"/>
    </xf>
    <xf numFmtId="177" fontId="13" fillId="0" borderId="1" xfId="0" applyNumberFormat="1" applyFont="1" applyBorder="1" applyAlignment="1">
      <alignment horizontal="right" vertical="center" indent="1"/>
    </xf>
    <xf numFmtId="0" fontId="18" fillId="0" borderId="2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/>
    </xf>
    <xf numFmtId="0" fontId="18" fillId="5" borderId="1" xfId="0" applyFont="1" applyFill="1" applyBorder="1" applyAlignment="1">
      <alignment horizontal="right" vertical="center" wrapText="1"/>
    </xf>
    <xf numFmtId="177" fontId="13" fillId="5" borderId="1" xfId="0" applyNumberFormat="1" applyFont="1" applyFill="1" applyBorder="1" applyAlignment="1">
      <alignment horizontal="right" vertical="center" indent="1"/>
    </xf>
    <xf numFmtId="9" fontId="17" fillId="5" borderId="1" xfId="0" applyNumberFormat="1" applyFont="1" applyFill="1" applyBorder="1" applyAlignment="1">
      <alignment horizontal="right" vertical="center" indent="1"/>
    </xf>
    <xf numFmtId="0" fontId="16" fillId="4" borderId="1" xfId="0" applyFont="1" applyFill="1" applyBorder="1" applyAlignment="1">
      <alignment horizontal="right" vertical="center"/>
    </xf>
    <xf numFmtId="9" fontId="20" fillId="4" borderId="1" xfId="0" applyNumberFormat="1" applyFont="1" applyFill="1" applyBorder="1" applyAlignment="1">
      <alignment horizontal="left" vertical="center" indent="1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9" fontId="24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right" vertical="center" indent="1"/>
    </xf>
    <xf numFmtId="0" fontId="26" fillId="0" borderId="1" xfId="0" applyFont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right" vertical="center" indent="1"/>
    </xf>
    <xf numFmtId="0" fontId="21" fillId="2" borderId="12" xfId="0" applyFont="1" applyFill="1" applyBorder="1" applyAlignment="1">
      <alignment horizontal="left" vertical="center" wrapText="1" indent="2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left" vertical="center" indent="2"/>
    </xf>
    <xf numFmtId="0" fontId="23" fillId="2" borderId="14" xfId="0" applyFont="1" applyFill="1" applyBorder="1" applyAlignment="1">
      <alignment horizontal="left" vertical="center" indent="2"/>
    </xf>
  </cellXfs>
  <cellStyles count="1">
    <cellStyle name="常规" xfId="0" builtinId="0"/>
  </cellStyles>
  <dxfs count="8"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</dxfs>
  <tableStyles count="0" defaultTableStyle="TableStyleMedium2" defaultPivotStyle="PivotStyleLight16"/>
  <colors>
    <mruColors>
      <color rgb="FFF72585"/>
      <color rgb="FFFF00FF"/>
      <color rgb="FF3F37C9"/>
      <color rgb="FF7209B7"/>
      <color rgb="FF4361EE"/>
      <color rgb="FF3A0CA3"/>
      <color rgb="FF480CA8"/>
      <color rgb="FF560BAD"/>
      <color rgb="FF4895EF"/>
      <color rgb="FFB51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45DB-23E0-4275-8605-818D25F42E67}">
  <dimension ref="A1:I16"/>
  <sheetViews>
    <sheetView tabSelected="1" workbookViewId="0"/>
  </sheetViews>
  <sheetFormatPr defaultRowHeight="13.9" x14ac:dyDescent="0.4"/>
  <cols>
    <col min="1" max="1" width="24.59765625" style="1" customWidth="1"/>
    <col min="2" max="2" width="20.59765625" style="1" customWidth="1"/>
    <col min="3" max="4" width="14.59765625" style="1" customWidth="1"/>
    <col min="5" max="5" width="24.59765625" style="1" customWidth="1"/>
    <col min="6" max="7" width="20.59765625" style="1" customWidth="1"/>
    <col min="8" max="8" width="11.1328125" style="1" bestFit="1" customWidth="1"/>
    <col min="9" max="16384" width="9.06640625" style="1"/>
  </cols>
  <sheetData>
    <row r="1" spans="1:9" ht="32" customHeight="1" x14ac:dyDescent="0.4">
      <c r="E1" s="41" t="s">
        <v>30</v>
      </c>
      <c r="F1" s="39">
        <f xml:space="preserve"> $B4*(-F4) + $B5*(-F5) + $B6*(-F6) + $B7*(-F7) + $B8*(-F8) + $B9*(-F9) + $B10*(-F10) + $B11*(-F11)</f>
        <v>20.079999000000001</v>
      </c>
      <c r="G1" s="39">
        <f xml:space="preserve"> $B4*(-G4) + $B5*(-G5) + $B6*(-G6) + $B7*(-G7) + $B8*(-G8) + $B9*(-G9) + $B10*(-G10) + $B11*(-G11)</f>
        <v>20.400166500000005</v>
      </c>
      <c r="H1" s="38">
        <f>SUM(H4:H11)</f>
        <v>1</v>
      </c>
    </row>
    <row r="2" spans="1:9" ht="48" customHeight="1" x14ac:dyDescent="0.4">
      <c r="A2" s="44" t="s">
        <v>5</v>
      </c>
      <c r="B2" s="45"/>
      <c r="C2" s="46"/>
      <c r="D2" s="36"/>
      <c r="E2" s="43" t="s">
        <v>34</v>
      </c>
      <c r="F2" s="47" t="s">
        <v>29</v>
      </c>
      <c r="G2" s="47"/>
      <c r="H2" s="48"/>
    </row>
    <row r="3" spans="1:9" s="2" customFormat="1" ht="40.049999999999997" customHeight="1" x14ac:dyDescent="0.4">
      <c r="A3" s="14" t="s">
        <v>3</v>
      </c>
      <c r="B3" s="14" t="s">
        <v>2</v>
      </c>
      <c r="C3" s="14" t="s">
        <v>4</v>
      </c>
      <c r="D3" s="37"/>
      <c r="E3" s="16" t="s">
        <v>3</v>
      </c>
      <c r="F3" s="30" t="s">
        <v>32</v>
      </c>
      <c r="G3" s="31" t="s">
        <v>33</v>
      </c>
      <c r="H3" s="17" t="s">
        <v>15</v>
      </c>
      <c r="I3" s="15"/>
    </row>
    <row r="4" spans="1:9" ht="50" customHeight="1" x14ac:dyDescent="0.4">
      <c r="A4" s="12" t="s">
        <v>6</v>
      </c>
      <c r="B4" s="8">
        <v>0.25</v>
      </c>
      <c r="C4" s="3" t="s">
        <v>1</v>
      </c>
      <c r="D4" s="32"/>
      <c r="E4" s="22" t="s">
        <v>22</v>
      </c>
      <c r="F4" s="20">
        <v>-17.273330000000001</v>
      </c>
      <c r="G4" s="20">
        <v>-15.82</v>
      </c>
      <c r="H4" s="18">
        <f>B4</f>
        <v>0.25</v>
      </c>
    </row>
    <row r="5" spans="1:9" ht="50" customHeight="1" x14ac:dyDescent="0.4">
      <c r="A5" s="12" t="s">
        <v>17</v>
      </c>
      <c r="B5" s="9">
        <v>0.2</v>
      </c>
      <c r="C5" s="5" t="s">
        <v>0</v>
      </c>
      <c r="D5" s="33"/>
      <c r="E5" s="25" t="s">
        <v>26</v>
      </c>
      <c r="F5" s="26">
        <v>-29.42</v>
      </c>
      <c r="G5" s="26">
        <v>-33.74</v>
      </c>
      <c r="H5" s="27">
        <f t="shared" ref="H5:H11" si="0">B5</f>
        <v>0.2</v>
      </c>
    </row>
    <row r="6" spans="1:9" ht="50" customHeight="1" x14ac:dyDescent="0.4">
      <c r="A6" s="12" t="s">
        <v>20</v>
      </c>
      <c r="B6" s="10">
        <v>0.15</v>
      </c>
      <c r="C6" s="4" t="s">
        <v>0</v>
      </c>
      <c r="D6" s="34"/>
      <c r="E6" s="23" t="s">
        <v>23</v>
      </c>
      <c r="F6" s="20">
        <v>-27.5</v>
      </c>
      <c r="G6" s="20">
        <v>-25.1</v>
      </c>
      <c r="H6" s="19">
        <f t="shared" si="0"/>
        <v>0.15</v>
      </c>
    </row>
    <row r="7" spans="1:9" ht="50" customHeight="1" x14ac:dyDescent="0.4">
      <c r="A7" s="12" t="s">
        <v>19</v>
      </c>
      <c r="B7" s="10">
        <v>0.15</v>
      </c>
      <c r="C7" s="6" t="s">
        <v>9</v>
      </c>
      <c r="D7" s="35"/>
      <c r="E7" s="25" t="s">
        <v>24</v>
      </c>
      <c r="F7" s="26">
        <v>-14.55</v>
      </c>
      <c r="G7" s="26">
        <v>-13.61</v>
      </c>
      <c r="H7" s="27">
        <f t="shared" si="0"/>
        <v>0.15</v>
      </c>
    </row>
    <row r="8" spans="1:9" ht="50" customHeight="1" x14ac:dyDescent="0.4">
      <c r="A8" s="12" t="s">
        <v>18</v>
      </c>
      <c r="B8" s="10">
        <v>0.1</v>
      </c>
      <c r="C8" s="6" t="s">
        <v>11</v>
      </c>
      <c r="D8" s="35"/>
      <c r="E8" s="23" t="s">
        <v>25</v>
      </c>
      <c r="F8" s="20">
        <v>-19.690000000000001</v>
      </c>
      <c r="G8" s="20">
        <v>-22.28</v>
      </c>
      <c r="H8" s="19">
        <f t="shared" si="0"/>
        <v>0.1</v>
      </c>
    </row>
    <row r="9" spans="1:9" ht="50" customHeight="1" x14ac:dyDescent="0.4">
      <c r="A9" s="12" t="s">
        <v>16</v>
      </c>
      <c r="B9" s="11">
        <v>0.05</v>
      </c>
      <c r="C9" s="6" t="s">
        <v>10</v>
      </c>
      <c r="D9" s="35"/>
      <c r="E9" s="25" t="s">
        <v>16</v>
      </c>
      <c r="F9" s="26">
        <v>4.2</v>
      </c>
      <c r="G9" s="26">
        <v>5.3</v>
      </c>
      <c r="H9" s="27">
        <f t="shared" si="0"/>
        <v>0.05</v>
      </c>
    </row>
    <row r="10" spans="1:9" ht="50" customHeight="1" x14ac:dyDescent="0.4">
      <c r="A10" s="13" t="s">
        <v>28</v>
      </c>
      <c r="B10" s="11">
        <v>0.05</v>
      </c>
      <c r="C10" s="5" t="s">
        <v>0</v>
      </c>
      <c r="D10" s="33"/>
      <c r="E10" s="24" t="s">
        <v>27</v>
      </c>
      <c r="F10" s="20">
        <v>-41.4</v>
      </c>
      <c r="G10" s="20">
        <v>-43.5</v>
      </c>
      <c r="H10" s="19">
        <f t="shared" si="0"/>
        <v>0.05</v>
      </c>
    </row>
    <row r="11" spans="1:9" ht="50" customHeight="1" x14ac:dyDescent="0.4">
      <c r="A11" s="12" t="s">
        <v>7</v>
      </c>
      <c r="B11" s="11">
        <v>0.05</v>
      </c>
      <c r="C11" s="6" t="s">
        <v>8</v>
      </c>
      <c r="D11" s="35"/>
      <c r="E11" s="25" t="s">
        <v>7</v>
      </c>
      <c r="F11" s="26">
        <v>5.1766699999999997</v>
      </c>
      <c r="G11" s="26">
        <v>4.9466700000000001</v>
      </c>
      <c r="H11" s="27">
        <f t="shared" si="0"/>
        <v>0.05</v>
      </c>
    </row>
    <row r="12" spans="1:9" ht="50" customHeight="1" x14ac:dyDescent="0.4">
      <c r="B12" s="7">
        <f>SUM(B4:B11)</f>
        <v>1</v>
      </c>
      <c r="E12" s="28" t="s">
        <v>31</v>
      </c>
      <c r="F12" s="42" t="str" cm="1">
        <f t="array" ref="F12" xml:space="preserve"> _xlfn.IFS( F1&gt;G1, F1-G1, F1&lt;G1, "败方", F1=G1, "平局" )</f>
        <v>败方</v>
      </c>
      <c r="G12" s="40" cm="1">
        <f t="array" ref="G12" xml:space="preserve"> _xlfn.IFS( F1&lt;G1, G1-F1, F1&gt;G1, "败方", F1=G1, "平局" )</f>
        <v>0.32016750000000371</v>
      </c>
      <c r="H12" s="29">
        <f>SUM(H4:H11)</f>
        <v>1</v>
      </c>
    </row>
    <row r="13" spans="1:9" ht="44" customHeight="1" x14ac:dyDescent="0.4">
      <c r="E13" s="12" t="s">
        <v>14</v>
      </c>
      <c r="F13" s="21">
        <v>-41.3</v>
      </c>
      <c r="G13" s="21">
        <v>-45.7</v>
      </c>
      <c r="H13" s="19">
        <v>0</v>
      </c>
    </row>
    <row r="14" spans="1:9" ht="44" customHeight="1" x14ac:dyDescent="0.4">
      <c r="E14" s="12" t="s">
        <v>12</v>
      </c>
      <c r="F14" s="21">
        <v>-36.6</v>
      </c>
      <c r="G14" s="21">
        <v>-36.5</v>
      </c>
      <c r="H14" s="19">
        <v>0</v>
      </c>
    </row>
    <row r="15" spans="1:9" ht="44" customHeight="1" x14ac:dyDescent="0.4">
      <c r="E15" s="12" t="s">
        <v>13</v>
      </c>
      <c r="F15" s="21">
        <v>-34.9</v>
      </c>
      <c r="G15" s="21">
        <v>-34.5</v>
      </c>
      <c r="H15" s="19">
        <v>0</v>
      </c>
    </row>
    <row r="16" spans="1:9" ht="44" customHeight="1" x14ac:dyDescent="0.4">
      <c r="E16" s="12" t="s">
        <v>21</v>
      </c>
      <c r="F16" s="21">
        <v>-9.9</v>
      </c>
      <c r="G16" s="21">
        <v>-9.6</v>
      </c>
      <c r="H16" s="19">
        <v>0</v>
      </c>
    </row>
  </sheetData>
  <sheetProtection sheet="1" objects="1" scenarios="1"/>
  <protectedRanges>
    <protectedRange sqref="F3:G16 E2" name="区域1"/>
  </protectedRanges>
  <mergeCells count="2">
    <mergeCell ref="A2:C2"/>
    <mergeCell ref="F2:H2"/>
  </mergeCells>
  <phoneticPr fontId="1" type="noConversion"/>
  <conditionalFormatting sqref="F4:G4">
    <cfRule type="aboveAverage" dxfId="7" priority="10" aboveAverage="0"/>
  </conditionalFormatting>
  <conditionalFormatting sqref="F5:G5">
    <cfRule type="aboveAverage" dxfId="6" priority="6" aboveAverage="0"/>
  </conditionalFormatting>
  <conditionalFormatting sqref="F6:G6">
    <cfRule type="aboveAverage" dxfId="5" priority="9" aboveAverage="0"/>
  </conditionalFormatting>
  <conditionalFormatting sqref="F7:G7">
    <cfRule type="aboveAverage" dxfId="4" priority="5" aboveAverage="0"/>
  </conditionalFormatting>
  <conditionalFormatting sqref="F8:G8">
    <cfRule type="aboveAverage" dxfId="3" priority="8" aboveAverage="0"/>
  </conditionalFormatting>
  <conditionalFormatting sqref="F9:G9">
    <cfRule type="aboveAverage" dxfId="2" priority="4" aboveAverage="0"/>
  </conditionalFormatting>
  <conditionalFormatting sqref="F10:G10">
    <cfRule type="aboveAverage" dxfId="1" priority="7" aboveAverage="0"/>
  </conditionalFormatting>
  <conditionalFormatting sqref="F11:G11">
    <cfRule type="aboveAverage" dxfId="0" priority="3" aboveAverage="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2026-09-03T15:50:53Z</dcterms:created>
  <dcterms:modified xsi:type="dcterms:W3CDTF">2026-09-06T15:29:16Z</dcterms:modified>
</cp:coreProperties>
</file>