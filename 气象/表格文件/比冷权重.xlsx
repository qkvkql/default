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A6730265-3401-459C-AE7F-0DD87B9A4F7A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<sst xmlns="http://schemas.openxmlformats.org/spreadsheetml/2006/main" count="38" uniqueCount="27">
  <si>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</si>
  <si>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</si>
  <si>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</si>
  <si>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</si>
  <si>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</si>
  <si>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</si>
  <si>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</si>
  <si>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</si>
  <si>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</si>
  <si>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</si>
  <si>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</si>
  <si>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</si>
  <si>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</si>
  <si>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</si>
  <si>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</si>
  <si>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</si>
  <si>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</si>
  <si>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图里河</t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</si>
  <si>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</si>
  <si>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</si>
  <si>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</si>
  <si>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</si>
  <si>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</si>
  <si>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A的
单项领先</t>
    <phoneticPr fontId="1" type="noConversion"/>
  </si>
  <si>
    <t>A的加权
综合领先</t>
    <phoneticPr fontId="1" type="noConversion"/>
  </si>
  <si>
    <t>车臣乌拉</t>
    <phoneticPr fontId="1" type="noConversion"/>
  </si>
  <si>
    <t>常年:
2006-2025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</si>
</sst>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"/>
  </numFmts>
  <fonts count="2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20"/>
      <color rgb="FF3F37C9"/>
      <name val="等线"/>
      <family val="3"/>
      <charset val="134"/>
      <scheme val="minor"/>
    </font>
    <font>
      <b/>
      <sz val="16"/>
      <color rgb="FF3F37C9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6"/>
      <color theme="0" tint="-0.249977111117893"/>
      <name val="等线"/>
      <family val="3"/>
      <charset val="134"/>
      <scheme val="minor"/>
    </font>
    <font>
      <b/>
      <sz val="24"/>
      <color rgb="FFFF00FF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24"/>
      <color theme="1" tint="0.499984740745262"/>
      <name val="等线"/>
      <family val="3"/>
      <charset val="134"/>
      <scheme val="minor"/>
    </font>
    <font>
      <b/>
      <sz val="24"/>
      <name val="等线"/>
      <family val="3"/>
      <charset val="134"/>
      <scheme val="minor"/>
    </font>
    <font>
      <b/>
      <sz val="24"/>
      <name val="等线"/>
      <family val="3"/>
      <charset val="134"/>
    </font>
    <font>
      <b/>
      <sz val="16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9" fontId="11" fillId="0" borderId="0" xfId="0" applyNumberFormat="1" applyFont="1">
      <alignment vertical="center"/>
    </xf>
    <xf numFmtId="176" fontId="12" fillId="0" borderId="1" xfId="0" applyNumberFormat="1" applyFont="1" applyBorder="1" applyAlignment="1">
      <alignment horizontal="right" vertical="center" indent="1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0" fontId="2" fillId="0" borderId="1" xfId="0" applyFont="1" applyBorder="1">
      <alignment vertical="center"/>
    </xf>
    <xf numFmtId="0" fontId="19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177" fontId="21" fillId="0" borderId="1" xfId="0" applyNumberFormat="1" applyFont="1" applyBorder="1" applyAlignment="1">
      <alignment horizontal="right" vertical="center" indent="4"/>
    </xf>
    <xf numFmtId="177" fontId="22" fillId="0" borderId="1" xfId="0" applyNumberFormat="1" applyFont="1" applyBorder="1" applyAlignment="1">
      <alignment horizontal="right" vertical="center" indent="4"/>
    </xf>
    <xf numFmtId="177" fontId="24" fillId="0" borderId="1" xfId="0" applyNumberFormat="1" applyFont="1" applyBorder="1" applyAlignment="1">
      <alignment horizontal="right" vertical="center" indent="4"/>
    </xf>
    <xf numFmtId="177" fontId="25" fillId="0" borderId="1" xfId="0" applyNumberFormat="1" applyFont="1" applyBorder="1" applyAlignment="1">
      <alignment horizontal="right" vertical="center" indent="4"/>
    </xf>
    <xf numFmtId="0" fontId="23" fillId="0" borderId="1" xfId="0" applyFont="1" applyBorder="1" applyAlignment="1">
      <alignment horizontal="right" vertical="center" indent="1"/>
    </xf>
    <xf numFmtId="2" fontId="5" fillId="4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12.59765625" style="1" customWidth="1"/>
    <col min="9" max="9" width="14.59765625" style="1" customWidth="1"/>
    <col min="10" max="16384" width="9.06640625" style="1"/>
  </cols>
  <sheetData>
    <row r="1" spans="1:9" ht="34.049999999999997" customHeight="1" x14ac:dyDescent="0.8">
      <c r="A1" s="28" t="s">
        <v>5</v>
      </c>
      <c r="B1" s="29"/>
      <c r="C1" s="30"/>
      <c r="E1" s="34" t="s">
        <v>26</v>
      </c>
      <c r="F1" s="35" t="s">
        <v>21</v>
      </c>
      <c r="G1" s="35" t="s">
        <v>22</v>
      </c>
      <c r="H1" s="25" t="s">
        <v>23</v>
      </c>
      <c r="I1" s="26" t="s">
        <v>24</v>
      </c>
    </row>
    <row r="2" spans="1:9" s="3" customFormat="1" ht="20" customHeight="1" x14ac:dyDescent="0.4">
      <c r="A2" s="31" t="s">
        <v>6</v>
      </c>
      <c r="B2" s="32"/>
      <c r="C2" s="33"/>
      <c r="E2" s="35"/>
      <c r="F2" s="35"/>
      <c r="G2" s="35"/>
      <c r="H2" s="25"/>
      <c r="I2" s="27"/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17" t="s">
        <v>3</v>
      </c>
      <c r="F3" s="17" t="s">
        <v>17</v>
      </c>
      <c r="G3" s="17" t="s">
        <v>25</v>
      </c>
      <c r="H3" s="18" t="s">
        <v>20</v>
      </c>
      <c r="I3" s="24">
        <f xml:space="preserve"> B4*H4 + B5*H5 + B6*H6 + B7*H7 + B8*H8 + B9*H9 + B10*H10 + B11*H11</f>
        <v>-0.75000000000000133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19">
        <v>-28.4</v>
      </c>
      <c r="G4" s="20">
        <v>-28.3</v>
      </c>
      <c r="H4" s="23">
        <f>G4-F4</f>
        <v>9.9999999999997868E-2</v>
      </c>
      <c r="I4" s="16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1">
        <v>-45</v>
      </c>
      <c r="G5" s="19">
        <v>-46.2</v>
      </c>
      <c r="H5" s="23">
        <f t="shared" ref="H5:H11" si="0">G5-F5</f>
        <v>-1.2000000000000028</v>
      </c>
      <c r="I5" s="16"/>
    </row>
    <row r="6" spans="1:9" ht="40.049999999999997" customHeight="1" x14ac:dyDescent="0.4">
      <c r="A6" s="4" t="s">
        <v>19</v>
      </c>
      <c r="B6" s="14">
        <v>0.15</v>
      </c>
      <c r="C6" s="8" t="s">
        <v>0</v>
      </c>
      <c r="E6" s="4" t="s">
        <v>19</v>
      </c>
      <c r="F6" s="21">
        <v>-36</v>
      </c>
      <c r="G6" s="19">
        <v>-36.9</v>
      </c>
      <c r="H6" s="23">
        <f t="shared" si="0"/>
        <v>-0.89999999999999858</v>
      </c>
      <c r="I6" s="16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20">
        <v>-26</v>
      </c>
      <c r="G7" s="19">
        <v>-26.1</v>
      </c>
      <c r="H7" s="23">
        <f t="shared" si="0"/>
        <v>-0.10000000000000142</v>
      </c>
      <c r="I7" s="16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0">
        <v>-27.9</v>
      </c>
      <c r="G8" s="19">
        <v>-31.8</v>
      </c>
      <c r="H8" s="23">
        <f t="shared" si="0"/>
        <v>-3.9000000000000021</v>
      </c>
      <c r="I8" s="16"/>
    </row>
    <row r="9" spans="1:9" ht="40.049999999999997" customHeight="1" x14ac:dyDescent="0.4">
      <c r="A9" s="4" t="s">
        <v>18</v>
      </c>
      <c r="B9" s="15">
        <v>0.05</v>
      </c>
      <c r="C9" s="10" t="s">
        <v>15</v>
      </c>
      <c r="E9" s="4" t="s">
        <v>18</v>
      </c>
      <c r="F9" s="19">
        <v>-3.3</v>
      </c>
      <c r="G9" s="22">
        <v>2.6</v>
      </c>
      <c r="H9" s="23">
        <f t="shared" si="0"/>
        <v>5.9</v>
      </c>
      <c r="I9" s="16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0">
        <v>-50.2</v>
      </c>
      <c r="G10" s="19">
        <v>-54.7</v>
      </c>
      <c r="H10" s="23">
        <f t="shared" si="0"/>
        <v>-4.5</v>
      </c>
      <c r="I10" s="16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0">
        <v>-3.6</v>
      </c>
      <c r="G11" s="19">
        <v>-4.9000000000000004</v>
      </c>
      <c r="H11" s="23">
        <f t="shared" si="0"/>
        <v>-1.3000000000000003</v>
      </c>
      <c r="I11" s="16"/>
    </row>
    <row r="12" spans="1:9" ht="44" customHeight="1" x14ac:dyDescent="0.4">
      <c r="B12" s="11">
        <f>SUM(B4:B11)</f>
        <v>1</v>
      </c>
    </row>
  </sheetData>
  <mergeCells count="7">
    <mergeCell ref="H1:H2"/>
    <mergeCell ref="I1:I2"/>
    <mergeCell ref="A1:C1"/>
    <mergeCell ref="A2:C2"/>
    <mergeCell ref="E1:E2"/>
    <mergeCell ref="F1:F2"/>
    <mergeCell ref="G1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2026-09-04T06:51:18Z</dcterms:modified>
</cp:coreProperties>
</file>