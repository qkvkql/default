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"/>
    </mc:Choice>
  </mc:AlternateContent>
  <xr:revisionPtr revIDLastSave="0" documentId="13_ncr:1_{43B0FBAC-5185-49C3-AF30-9DE63DA1FB54}" xr6:coauthVersionLast="47" xr6:coauthVersionMax="47" xr10:uidLastSave="{00000000-0000-0000-0000-000000000000}"/>
  <bookViews>
    <workbookView xWindow="-98" yWindow="-98" windowWidth="21795" windowHeight="12975" firstSheet="6" activeTab="10" xr2:uid="{8D56AB80-2E26-4029-929F-AED17FA8BDE0}"/>
  </bookViews>
  <sheets>
    <sheet name="平均气温" sheetId="1" r:id="rId1"/>
    <sheet name="蒙古极端低温" sheetId="2" r:id="rId2"/>
    <sheet name="蒙古极端高温" sheetId="4" r:id="rId3"/>
    <sheet name="单站记录汇总" sheetId="5" r:id="rId4"/>
    <sheet name="蒙古分省均温" sheetId="6" r:id="rId5"/>
    <sheet name="各省一月平均气温" sheetId="9" r:id="rId6"/>
    <sheet name="俄罗斯高纬度" sheetId="7" r:id="rId7"/>
    <sheet name="隆冬月历史最高气温" sheetId="10" r:id="rId8"/>
    <sheet name="滑雪场对比" sheetId="8" r:id="rId9"/>
    <sheet name="滑雪场极端低温" sheetId="11" r:id="rId10"/>
    <sheet name="滑雪场冬均最低" sheetId="12" r:id="rId11"/>
  </sheets>
  <definedNames>
    <definedName name="_xlnm._FilterDatabase" localSheetId="5" hidden="1">各省一月平均气温!$B$3:$E$77</definedName>
    <definedName name="_xlnm._FilterDatabase" localSheetId="7" hidden="1">隆冬月历史最高气温!$A$2:$D$12</definedName>
    <definedName name="_xlnm._FilterDatabase" localSheetId="0" hidden="1">平均气温!$A$2:$A$40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1" l="1"/>
  <c r="A17" i="1"/>
  <c r="A39" i="1"/>
  <c r="A36" i="1"/>
  <c r="A32" i="1"/>
  <c r="A19" i="1"/>
  <c r="A16" i="1"/>
  <c r="A28" i="1"/>
  <c r="A38" i="1"/>
  <c r="A31" i="1"/>
  <c r="A29" i="1"/>
  <c r="A21" i="1"/>
  <c r="A13" i="1"/>
  <c r="A18" i="1"/>
  <c r="A8" i="1"/>
  <c r="A26" i="1"/>
  <c r="A24" i="1"/>
  <c r="A30" i="1"/>
  <c r="A34" i="1"/>
  <c r="A14" i="1"/>
  <c r="A7" i="1"/>
  <c r="A11" i="1"/>
  <c r="A9" i="1"/>
  <c r="A37" i="1"/>
  <c r="A33" i="1"/>
  <c r="A35" i="1"/>
  <c r="A4" i="1"/>
  <c r="A12" i="1"/>
  <c r="A10" i="1"/>
  <c r="A25" i="1"/>
  <c r="A27" i="1"/>
  <c r="A20" i="1"/>
  <c r="A6" i="1"/>
  <c r="A3" i="1"/>
  <c r="A5" i="1"/>
  <c r="A22" i="1"/>
  <c r="A23" i="1"/>
</calcChain>
</file>

<file path=xl/sharedStrings.xml><?xml version="1.0" encoding="utf-8"?>
<sst xmlns="http://schemas.openxmlformats.org/spreadsheetml/2006/main" count="869" uniqueCount="570">
  <si>
    <t>图里河</t>
  </si>
  <si>
    <t>巴音布鲁克</t>
  </si>
  <si>
    <t>科什阿加奇</t>
  </si>
  <si>
    <t>克孜勒</t>
  </si>
  <si>
    <t>埃尔津</t>
  </si>
  <si>
    <t>埃基姆昌</t>
  </si>
  <si>
    <t>莫戈恰</t>
  </si>
  <si>
    <t>卡丘格</t>
  </si>
  <si>
    <t>巴尔古津</t>
  </si>
  <si>
    <t>奥布卢奇耶</t>
  </si>
  <si>
    <t>切昆达</t>
  </si>
  <si>
    <t>仁钦隆勃</t>
  </si>
  <si>
    <t>乌兰固木</t>
  </si>
  <si>
    <t>乌兰巴托</t>
  </si>
  <si>
    <t>特斯</t>
  </si>
  <si>
    <t>巴彦特斯</t>
  </si>
  <si>
    <t>车臣乌拉</t>
  </si>
  <si>
    <t>尧勒</t>
  </si>
  <si>
    <t>鄂特冈</t>
  </si>
  <si>
    <t>东戈壁</t>
  </si>
  <si>
    <t>海拔</t>
    <phoneticPr fontId="1" type="noConversion"/>
  </si>
  <si>
    <t>纬度</t>
    <phoneticPr fontId="1" type="noConversion"/>
  </si>
  <si>
    <t>地点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</si>
  <si>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</si>
  <si>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</si>
  <si>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</si>
  <si>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</si>
  <si>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</si>
  <si>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</si>
  <si>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</si>
  <si>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</si>
  <si>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</si>
  <si>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</si>
  <si>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</si>
  <si>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</si>
  <si>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632m</t>
  </si>
  <si>
    <t>1583m</t>
  </si>
  <si>
    <t>939m</t>
  </si>
  <si>
    <t>1723m</t>
  </si>
  <si>
    <t>799m</t>
  </si>
  <si>
    <t>1424m</t>
  </si>
  <si>
    <t>1931m</t>
  </si>
  <si>
    <t>2156m</t>
  </si>
  <si>
    <t>998m</t>
  </si>
  <si>
    <t>1555m</t>
  </si>
  <si>
    <t>51.12°N</t>
  </si>
  <si>
    <t>48.73°N</t>
  </si>
  <si>
    <t>50.48°N</t>
  </si>
  <si>
    <t>48.75°N</t>
  </si>
  <si>
    <t>47.21°N</t>
  </si>
  <si>
    <t>51.36°N</t>
  </si>
  <si>
    <t>年</t>
    <phoneticPr fontId="1" type="noConversion"/>
  </si>
  <si>
    <t>序号</t>
    <phoneticPr fontId="1" type="noConversion"/>
  </si>
  <si>
    <t>1991-2020 各月平均气温(℃)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</si>
  <si>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</si>
  <si>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</si>
  <si>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</si>
  <si>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</si>
  <si>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</si>
  <si>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</si>
  <si>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</si>
  <si>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</si>
  <si>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</si>
  <si>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</si>
  <si>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色楞格省</t>
    <phoneticPr fontId="1" type="noConversion"/>
  </si>
  <si>
    <t>宗布伦</t>
    <phoneticPr fontId="1" type="noConversion"/>
  </si>
  <si>
    <t>库苏古尔省</t>
    <phoneticPr fontId="1" type="noConversion"/>
  </si>
  <si>
    <t>查干乌拉</t>
    <phoneticPr fontId="1" type="noConversion"/>
  </si>
  <si>
    <t>查干乌尔</t>
    <phoneticPr fontId="1" type="noConversion"/>
  </si>
  <si>
    <t>仁钦隆勃</t>
    <phoneticPr fontId="1" type="noConversion"/>
  </si>
  <si>
    <t>乌布苏省</t>
    <phoneticPr fontId="1" type="noConversion"/>
  </si>
  <si>
    <t>东戈壁</t>
    <phoneticPr fontId="1" type="noConversion"/>
  </si>
  <si>
    <t>特斯</t>
    <phoneticPr fontId="1" type="noConversion"/>
  </si>
  <si>
    <t>扎布汗省</t>
    <phoneticPr fontId="1" type="noConversion"/>
  </si>
  <si>
    <t>巴彦特斯</t>
    <phoneticPr fontId="1" type="noConversion"/>
  </si>
  <si>
    <t>大乌拉</t>
    <phoneticPr fontId="1" type="noConversion"/>
  </si>
  <si>
    <t>陶松臣格勒</t>
    <phoneticPr fontId="1" type="noConversion"/>
  </si>
  <si>
    <t>车臣乌拉</t>
    <phoneticPr fontId="1" type="noConversion"/>
  </si>
  <si>
    <t>台勒门</t>
    <phoneticPr fontId="1" type="noConversion"/>
  </si>
  <si>
    <t>鄂特冈</t>
    <phoneticPr fontId="1" type="noConversion"/>
  </si>
  <si>
    <t>1286m</t>
  </si>
  <si>
    <t>1742m</t>
  </si>
  <si>
    <t>1811m</t>
  </si>
  <si>
    <t>50.07°N</t>
  </si>
  <si>
    <t>49.9°N</t>
  </si>
  <si>
    <t>49.65°N</t>
  </si>
  <si>
    <t>49.7°N</t>
  </si>
  <si>
    <t>48.65°N</t>
    <phoneticPr fontId="1" type="noConversion"/>
  </si>
  <si>
    <t>48.55°N</t>
    <phoneticPr fontId="1" type="noConversion"/>
  </si>
  <si>
    <t>1924m</t>
    <phoneticPr fontId="1" type="noConversion"/>
  </si>
  <si>
    <t>49.54°N</t>
    <phoneticPr fontId="1" type="noConversion"/>
  </si>
  <si>
    <r>
      <rPr>
        <b/>
        <sz val="40"/>
        <color theme="0"/>
        <rFont val="等线"/>
        <family val="3"/>
        <charset val="134"/>
        <scheme val="minor"/>
      </rPr>
      <t xml:space="preserve">1991-2020 蒙古各月极端低温(℃)
</t>
    </r>
    <r>
      <rPr>
        <sz val="20"/>
        <color theme="0"/>
        <rFont val="等线"/>
        <family val="3"/>
        <charset val="134"/>
        <scheme val="minor"/>
      </rPr>
      <t>筛选：极端低温 &lt;= -50℃</t>
    </r>
    <phoneticPr fontId="1" type="noConversion"/>
  </si>
  <si>
    <t>中国</t>
    <phoneticPr fontId="1" type="noConversion"/>
  </si>
  <si>
    <t>俄罗斯</t>
    <phoneticPr fontId="1" type="noConversion"/>
  </si>
  <si>
    <t>蒙古</t>
    <phoneticPr fontId="1" type="noConversion"/>
  </si>
  <si>
    <t>乌兰巴托市</t>
    <phoneticPr fontId="1" type="noConversion"/>
  </si>
  <si>
    <t>乌兰乌拉</t>
    <phoneticPr fontId="1" type="noConversion"/>
  </si>
  <si>
    <t>西图伦</t>
    <phoneticPr fontId="1" type="noConversion"/>
  </si>
  <si>
    <t>马勒钦</t>
    <phoneticPr fontId="1" type="noConversion"/>
  </si>
  <si>
    <t>乌兰固木</t>
    <phoneticPr fontId="1" type="noConversion"/>
  </si>
  <si>
    <t>萨吉勒</t>
    <phoneticPr fontId="1" type="noConversion"/>
  </si>
  <si>
    <t>达布斯特</t>
    <phoneticPr fontId="1" type="noConversion"/>
  </si>
  <si>
    <t>1687m</t>
  </si>
  <si>
    <t>1393m</t>
  </si>
  <si>
    <t>1142m</t>
  </si>
  <si>
    <t>1233m</t>
  </si>
  <si>
    <t>852m</t>
  </si>
  <si>
    <t>50.68°N</t>
  </si>
  <si>
    <t>48.65°N</t>
  </si>
  <si>
    <t>48.55°N</t>
  </si>
  <si>
    <t>49.73°N</t>
  </si>
  <si>
    <t>50.34°N</t>
  </si>
  <si>
    <t>49.66°N</t>
  </si>
  <si>
    <t>50.61°N</t>
  </si>
  <si>
    <t>49.70°N</t>
    <phoneticPr fontId="1" type="noConversion"/>
  </si>
  <si>
    <t>49.80°N</t>
    <phoneticPr fontId="1" type="noConversion"/>
  </si>
  <si>
    <t>49.90°N</t>
    <phoneticPr fontId="1" type="noConversion"/>
  </si>
  <si>
    <t>一
月</t>
    <phoneticPr fontId="1" type="noConversion"/>
  </si>
  <si>
    <t>二
月</t>
    <phoneticPr fontId="1" type="noConversion"/>
  </si>
  <si>
    <t>三
月</t>
    <phoneticPr fontId="1" type="noConversion"/>
  </si>
  <si>
    <t>四
月</t>
    <phoneticPr fontId="1" type="noConversion"/>
  </si>
  <si>
    <t>五
月</t>
    <phoneticPr fontId="1" type="noConversion"/>
  </si>
  <si>
    <t>六
月</t>
    <phoneticPr fontId="1" type="noConversion"/>
  </si>
  <si>
    <t>七
月</t>
    <phoneticPr fontId="1" type="noConversion"/>
  </si>
  <si>
    <t>八
月</t>
    <phoneticPr fontId="1" type="noConversion"/>
  </si>
  <si>
    <t>九
月</t>
    <phoneticPr fontId="1" type="noConversion"/>
  </si>
  <si>
    <t>十
月</t>
    <phoneticPr fontId="1" type="noConversion"/>
  </si>
  <si>
    <t>十
一
月</t>
    <phoneticPr fontId="1" type="noConversion"/>
  </si>
  <si>
    <t>十
二
月</t>
    <phoneticPr fontId="1" type="noConversion"/>
  </si>
  <si>
    <t>海
拔</t>
    <phoneticPr fontId="1" type="noConversion"/>
  </si>
  <si>
    <t>纬
度</t>
    <phoneticPr fontId="1" type="noConversion"/>
  </si>
  <si>
    <r>
      <rPr>
        <b/>
        <sz val="80"/>
        <color theme="0"/>
        <rFont val="等线"/>
        <family val="3"/>
        <charset val="134"/>
        <scheme val="minor"/>
      </rPr>
      <t>1991-2020 蒙古各月极端</t>
    </r>
    <r>
      <rPr>
        <b/>
        <sz val="80"/>
        <color rgb="FFFFFF00"/>
        <rFont val="等线"/>
        <family val="3"/>
        <charset val="134"/>
        <scheme val="minor"/>
      </rPr>
      <t>高</t>
    </r>
    <r>
      <rPr>
        <b/>
        <sz val="80"/>
        <color theme="0"/>
        <rFont val="等线"/>
        <family val="3"/>
        <charset val="134"/>
        <scheme val="minor"/>
      </rPr>
      <t>温</t>
    </r>
    <r>
      <rPr>
        <b/>
        <sz val="72"/>
        <color theme="0"/>
        <rFont val="等线"/>
        <family val="3"/>
        <charset val="134"/>
        <scheme val="minor"/>
      </rPr>
      <t>(℃)</t>
    </r>
    <r>
      <rPr>
        <b/>
        <sz val="70"/>
        <color theme="0"/>
        <rFont val="等线"/>
        <family val="3"/>
        <charset val="134"/>
        <scheme val="minor"/>
      </rPr>
      <t xml:space="preserve">
</t>
    </r>
    <r>
      <rPr>
        <sz val="36"/>
        <color theme="0"/>
        <rFont val="等线"/>
        <family val="3"/>
        <charset val="134"/>
        <scheme val="minor"/>
      </rPr>
      <t>筛选：一月平均气温 &lt;= -30℃</t>
    </r>
    <phoneticPr fontId="1" type="noConversion"/>
  </si>
  <si>
    <t>1983/1984</t>
  </si>
  <si>
    <t>1984/1985</t>
  </si>
  <si>
    <t>1985/1986</t>
  </si>
  <si>
    <t>1986/1987</t>
  </si>
  <si>
    <t>1987/1988</t>
  </si>
  <si>
    <t>1988/1989</t>
  </si>
  <si>
    <t>1989/1990</t>
  </si>
  <si>
    <t>1990/1991</t>
  </si>
  <si>
    <t>1991/1992</t>
  </si>
  <si>
    <t>1992/1993</t>
  </si>
  <si>
    <t>1993/1994</t>
  </si>
  <si>
    <t>最低气温</t>
    <phoneticPr fontId="1" type="noConversion"/>
  </si>
  <si>
    <t>最低昼温</t>
    <phoneticPr fontId="1" type="noConversion"/>
  </si>
  <si>
    <t>最低
日均温</t>
    <phoneticPr fontId="1" type="noConversion"/>
  </si>
  <si>
    <t>冬季</t>
    <phoneticPr fontId="1" type="noConversion"/>
  </si>
  <si>
    <t>冬三月
平均
低温</t>
    <phoneticPr fontId="1" type="noConversion"/>
  </si>
  <si>
    <t>冬三月
平均
气温</t>
    <phoneticPr fontId="1" type="noConversion"/>
  </si>
  <si>
    <t>冬三月
平均
昼温</t>
    <phoneticPr fontId="1" type="noConversion"/>
  </si>
  <si>
    <t>低温低于
-40天数</t>
    <phoneticPr fontId="1" type="noConversion"/>
  </si>
  <si>
    <t>昼温低于
-30天数</t>
    <phoneticPr fontId="1" type="noConversion"/>
  </si>
  <si>
    <t>1968/1969</t>
  </si>
  <si>
    <t>1969/1970</t>
  </si>
  <si>
    <t>1970/1971</t>
  </si>
  <si>
    <t>1972/1973</t>
  </si>
  <si>
    <t>1973/1974</t>
  </si>
  <si>
    <t>1974/1975</t>
  </si>
  <si>
    <t>1975/1976</t>
  </si>
  <si>
    <t>1976/1977</t>
  </si>
  <si>
    <t>1977/1978</t>
  </si>
  <si>
    <t>1978/1979</t>
  </si>
  <si>
    <t>1979/1980</t>
  </si>
  <si>
    <t>1980/1981</t>
  </si>
  <si>
    <t>1982/1983</t>
  </si>
  <si>
    <t>低温低于
-50天数</t>
    <phoneticPr fontId="1" type="noConversion"/>
  </si>
  <si>
    <t>1951/1952</t>
  </si>
  <si>
    <t>1952/1953</t>
  </si>
  <si>
    <t>1955/1956</t>
  </si>
  <si>
    <t>1956/1957</t>
  </si>
  <si>
    <t>1957/1958</t>
  </si>
  <si>
    <t>东亚低温王：谢列姆贾</t>
    <phoneticPr fontId="1" type="noConversion"/>
  </si>
  <si>
    <t>省</t>
    <phoneticPr fontId="1" type="noConversion"/>
  </si>
  <si>
    <t>后杭爱省</t>
    <phoneticPr fontId="1" type="noConversion"/>
  </si>
  <si>
    <t>巴彦乌列盖省</t>
    <phoneticPr fontId="1" type="noConversion"/>
  </si>
  <si>
    <t>巴彦洪格尔省</t>
    <phoneticPr fontId="1" type="noConversion"/>
  </si>
  <si>
    <t>布尔干省</t>
    <phoneticPr fontId="1" type="noConversion"/>
  </si>
  <si>
    <t>戈壁阿尔泰省</t>
    <phoneticPr fontId="1" type="noConversion"/>
  </si>
  <si>
    <t>戈壁苏木贝尔省</t>
    <phoneticPr fontId="1" type="noConversion"/>
  </si>
  <si>
    <t>达尔汗乌拉省</t>
    <phoneticPr fontId="1" type="noConversion"/>
  </si>
  <si>
    <t>东戈壁省</t>
    <phoneticPr fontId="1" type="noConversion"/>
  </si>
  <si>
    <t>东方省</t>
    <phoneticPr fontId="1" type="noConversion"/>
  </si>
  <si>
    <t>中戈壁省</t>
    <phoneticPr fontId="1" type="noConversion"/>
  </si>
  <si>
    <t>鄂尔浑省</t>
    <phoneticPr fontId="1" type="noConversion"/>
  </si>
  <si>
    <t>前杭爱省</t>
    <phoneticPr fontId="1" type="noConversion"/>
  </si>
  <si>
    <t>南戈壁省</t>
    <phoneticPr fontId="1" type="noConversion"/>
  </si>
  <si>
    <t>苏赫巴托省</t>
    <phoneticPr fontId="1" type="noConversion"/>
  </si>
  <si>
    <t>中央省</t>
    <phoneticPr fontId="1" type="noConversion"/>
  </si>
  <si>
    <t>科布多省</t>
    <phoneticPr fontId="1" type="noConversion"/>
  </si>
  <si>
    <t>肯特省</t>
    <phoneticPr fontId="1" type="noConversion"/>
  </si>
  <si>
    <t>蒙古全国</t>
    <phoneticPr fontId="1" type="noConversion"/>
  </si>
  <si>
    <t>站点
个数</t>
    <phoneticPr fontId="1" type="noConversion"/>
  </si>
  <si>
    <t>1991-2020蒙古国分省各月平均气温(℃)</t>
    <phoneticPr fontId="1" type="noConversion"/>
  </si>
  <si>
    <t>站号</t>
    <phoneticPr fontId="1" type="noConversion"/>
  </si>
  <si>
    <t>DELYANKIR</t>
  </si>
  <si>
    <t>YURTY</t>
  </si>
  <si>
    <t>TOKO</t>
  </si>
  <si>
    <t>奥伊米亚康</t>
  </si>
  <si>
    <t>乌斯季涅拉</t>
  </si>
  <si>
    <t>上扬斯克</t>
  </si>
  <si>
    <t>雅库茨克</t>
  </si>
  <si>
    <t>IEMA</t>
  </si>
  <si>
    <t>阿加亚坎</t>
    <phoneticPr fontId="1" type="noConversion"/>
  </si>
  <si>
    <t>乌斯季莫马(霍努)</t>
    <phoneticPr fontId="1" type="noConversion"/>
  </si>
  <si>
    <t>站点</t>
    <phoneticPr fontId="1" type="noConversion"/>
  </si>
  <si>
    <t>1991-2020</t>
    <phoneticPr fontId="1" type="noConversion"/>
  </si>
  <si>
    <t>1961-1990</t>
    <phoneticPr fontId="1" type="noConversion"/>
  </si>
  <si>
    <t>俄罗斯萨哈共和国强冷站冬三月各月平均气温(℃)</t>
    <phoneticPr fontId="1" type="noConversion"/>
  </si>
  <si>
    <t>地区</t>
    <phoneticPr fontId="1" type="noConversion"/>
  </si>
  <si>
    <t>滑雪场</t>
    <phoneticPr fontId="1" type="noConversion"/>
  </si>
  <si>
    <t>可可托海</t>
    <phoneticPr fontId="1" type="noConversion"/>
  </si>
  <si>
    <t>美国</t>
    <phoneticPr fontId="1" type="noConversion"/>
  </si>
  <si>
    <t>新疆</t>
    <phoneticPr fontId="1" type="noConversion"/>
  </si>
  <si>
    <t>加拿大</t>
    <phoneticPr fontId="1" type="noConversion"/>
  </si>
  <si>
    <t>挪威</t>
    <phoneticPr fontId="1" type="noConversion"/>
  </si>
  <si>
    <t>纳尔维克</t>
    <phoneticPr fontId="1" type="noConversion"/>
  </si>
  <si>
    <t>瑞士</t>
    <phoneticPr fontId="1" type="noConversion"/>
  </si>
  <si>
    <t>采尔马特</t>
  </si>
  <si>
    <t>采尔马特</t>
    <phoneticPr fontId="1" type="noConversion"/>
  </si>
  <si>
    <t>法国</t>
    <phoneticPr fontId="1" type="noConversion"/>
  </si>
  <si>
    <t>三峡谷</t>
    <phoneticPr fontId="1" type="noConversion"/>
  </si>
  <si>
    <t>滑雪场坐标</t>
    <phoneticPr fontId="1" type="noConversion"/>
  </si>
  <si>
    <t>经度</t>
    <phoneticPr fontId="1" type="noConversion"/>
  </si>
  <si>
    <t>旭岳</t>
    <phoneticPr fontId="1" type="noConversion"/>
  </si>
  <si>
    <t>世界知名滑雪场冬季气温对比(℃)</t>
    <phoneticPr fontId="1" type="noConversion"/>
  </si>
  <si>
    <t>气象站站号</t>
    <phoneticPr fontId="1" type="noConversion"/>
  </si>
  <si>
    <t>采用的气象站</t>
    <phoneticPr fontId="1" type="noConversion"/>
  </si>
  <si>
    <t>01183</t>
    <phoneticPr fontId="1" type="noConversion"/>
  </si>
  <si>
    <t>06748</t>
    <phoneticPr fontId="1" type="noConversion"/>
  </si>
  <si>
    <t>07497</t>
    <phoneticPr fontId="1" type="noConversion"/>
  </si>
  <si>
    <t>Vail</t>
    <phoneticPr fontId="1" type="noConversion"/>
  </si>
  <si>
    <t>724675-23063</t>
    <phoneticPr fontId="1" type="noConversion"/>
  </si>
  <si>
    <t>37171</t>
    <phoneticPr fontId="1" type="noConversion"/>
  </si>
  <si>
    <t>罗莎库托</t>
    <phoneticPr fontId="1" type="noConversion"/>
  </si>
  <si>
    <t>北大湖</t>
    <phoneticPr fontId="1" type="noConversion"/>
  </si>
  <si>
    <t>格鲁吉亚</t>
    <phoneticPr fontId="1" type="noConversion"/>
  </si>
  <si>
    <t>古多里</t>
    <phoneticPr fontId="1" type="noConversion"/>
  </si>
  <si>
    <t>37228</t>
    <phoneticPr fontId="1" type="noConversion"/>
  </si>
  <si>
    <t>琼布拉克</t>
    <phoneticPr fontId="1" type="noConversion"/>
  </si>
  <si>
    <t>36870</t>
    <phoneticPr fontId="1" type="noConversion"/>
  </si>
  <si>
    <t>13378</t>
    <phoneticPr fontId="1" type="noConversion"/>
  </si>
  <si>
    <t>塞尔维亚</t>
    <phoneticPr fontId="1" type="noConversion"/>
  </si>
  <si>
    <t>科帕奥尼卡</t>
  </si>
  <si>
    <t>奥地利</t>
    <phoneticPr fontId="1" type="noConversion"/>
  </si>
  <si>
    <t>11136</t>
    <phoneticPr fontId="1" type="noConversion"/>
  </si>
  <si>
    <t>71486</t>
    <phoneticPr fontId="1" type="noConversion"/>
  </si>
  <si>
    <t>Marmot Basin</t>
    <phoneticPr fontId="1" type="noConversion"/>
  </si>
  <si>
    <t>ROLLE PASS</t>
  </si>
  <si>
    <t>意大利</t>
    <phoneticPr fontId="1" type="noConversion"/>
  </si>
  <si>
    <t>加尔代纳山谷</t>
    <phoneticPr fontId="1" type="noConversion"/>
  </si>
  <si>
    <t>16021</t>
    <phoneticPr fontId="1" type="noConversion"/>
  </si>
  <si>
    <t>02869</t>
    <phoneticPr fontId="1" type="noConversion"/>
  </si>
  <si>
    <t>芬兰</t>
    <phoneticPr fontId="1" type="noConversion"/>
  </si>
  <si>
    <t>卢卡</t>
    <phoneticPr fontId="1" type="noConversion"/>
  </si>
  <si>
    <t>伊朗</t>
    <phoneticPr fontId="1" type="noConversion"/>
  </si>
  <si>
    <t>Dizin</t>
    <phoneticPr fontId="1" type="noConversion"/>
  </si>
  <si>
    <t>40754</t>
    <phoneticPr fontId="1" type="noConversion"/>
  </si>
  <si>
    <t>吉林省</t>
    <phoneticPr fontId="1" type="noConversion"/>
  </si>
  <si>
    <t>亚布力</t>
    <phoneticPr fontId="1" type="noConversion"/>
  </si>
  <si>
    <t>万龙</t>
    <phoneticPr fontId="1" type="noConversion"/>
  </si>
  <si>
    <t>50968</t>
    <phoneticPr fontId="1" type="noConversion"/>
  </si>
  <si>
    <t>54171</t>
    <phoneticPr fontId="1" type="noConversion"/>
  </si>
  <si>
    <t>长白山西坡野雪公园</t>
    <phoneticPr fontId="1" type="noConversion"/>
  </si>
  <si>
    <t>47005</t>
    <phoneticPr fontId="1" type="noConversion"/>
  </si>
  <si>
    <t>47610</t>
    <phoneticPr fontId="1" type="noConversion"/>
  </si>
  <si>
    <t>日本</t>
    <phoneticPr fontId="1" type="noConversion"/>
  </si>
  <si>
    <t>白马五龙</t>
    <phoneticPr fontId="1" type="noConversion"/>
  </si>
  <si>
    <t>32389</t>
    <phoneticPr fontId="1" type="noConversion"/>
  </si>
  <si>
    <t>克柳切夫野雪场</t>
    <phoneticPr fontId="1" type="noConversion"/>
  </si>
  <si>
    <t>30815</t>
    <phoneticPr fontId="1" type="noConversion"/>
  </si>
  <si>
    <t>旭川</t>
  </si>
  <si>
    <t>220m</t>
  </si>
  <si>
    <t>青河</t>
  </si>
  <si>
    <t>1463m</t>
  </si>
  <si>
    <t>惠斯勒</t>
  </si>
  <si>
    <t>658m</t>
  </si>
  <si>
    <t>EVENES</t>
  </si>
  <si>
    <t>26m</t>
  </si>
  <si>
    <t>1624m</t>
  </si>
  <si>
    <t>圣莫里斯</t>
  </si>
  <si>
    <t>868m</t>
  </si>
  <si>
    <t>E.C.R.机场</t>
  </si>
  <si>
    <t>1980m</t>
  </si>
  <si>
    <t>索契</t>
  </si>
  <si>
    <t>27m</t>
  </si>
  <si>
    <t>永吉</t>
  </si>
  <si>
    <t>230m</t>
  </si>
  <si>
    <t>VLADIKAVKAZ</t>
  </si>
  <si>
    <t>703m</t>
  </si>
  <si>
    <t>阿拉木图</t>
  </si>
  <si>
    <t>851m</t>
  </si>
  <si>
    <t>1713m</t>
  </si>
  <si>
    <t>KRIMML</t>
  </si>
  <si>
    <t>1011m</t>
  </si>
  <si>
    <t>JASPER WARDEN  ALTA</t>
  </si>
  <si>
    <t>1020m</t>
  </si>
  <si>
    <t>2006m</t>
  </si>
  <si>
    <t>KUUSAMO</t>
  </si>
  <si>
    <t>264m</t>
  </si>
  <si>
    <t>MEHRABAD机场</t>
  </si>
  <si>
    <t>1208m</t>
  </si>
  <si>
    <t>尚志</t>
  </si>
  <si>
    <t>190m</t>
  </si>
  <si>
    <t>朝鲜三池渊</t>
  </si>
  <si>
    <t>1381m</t>
  </si>
  <si>
    <t>NAGANO</t>
  </si>
  <si>
    <t>420m</t>
  </si>
  <si>
    <t>KLJUCHI</t>
  </si>
  <si>
    <t>29m</t>
  </si>
  <si>
    <t>HAMAR-DABAN</t>
  </si>
  <si>
    <t>1442m</t>
  </si>
  <si>
    <t>平均
气温</t>
    <phoneticPr fontId="1" type="noConversion"/>
  </si>
  <si>
    <t>最低
气温</t>
    <phoneticPr fontId="1" type="noConversion"/>
  </si>
  <si>
    <t>最高
气温</t>
    <phoneticPr fontId="1" type="noConversion"/>
  </si>
  <si>
    <t>名称</t>
    <phoneticPr fontId="1" type="noConversion"/>
  </si>
  <si>
    <t>海拔(m)</t>
    <phoneticPr fontId="1" type="noConversion"/>
  </si>
  <si>
    <t>日本
北海道</t>
    <phoneticPr fontId="1" type="noConversion"/>
  </si>
  <si>
    <t>哈萨克
斯坦</t>
    <phoneticPr fontId="1" type="noConversion"/>
  </si>
  <si>
    <t>河北
张家口</t>
    <phoneticPr fontId="1" type="noConversion"/>
  </si>
  <si>
    <t>黑龙江
哈尔滨市</t>
    <phoneticPr fontId="1" type="noConversion"/>
  </si>
  <si>
    <t>俄罗斯
勘察加</t>
    <phoneticPr fontId="1" type="noConversion"/>
  </si>
  <si>
    <t>贝加尔
斯克</t>
    <phoneticPr fontId="1" type="noConversion"/>
  </si>
  <si>
    <t>惠斯勒
黑梳山</t>
    <phoneticPr fontId="1" type="noConversion"/>
  </si>
  <si>
    <t>科帕
奥尼卡</t>
    <phoneticPr fontId="1" type="noConversion"/>
  </si>
  <si>
    <t>基茨
比厄尔</t>
    <phoneticPr fontId="1" type="noConversion"/>
  </si>
  <si>
    <t>崇礼</t>
    <phoneticPr fontId="1" type="noConversion"/>
  </si>
  <si>
    <t>54304</t>
    <phoneticPr fontId="1" type="noConversion"/>
  </si>
  <si>
    <t>1240m</t>
    <phoneticPr fontId="1" type="noConversion"/>
  </si>
  <si>
    <t>查干诺尔</t>
    <phoneticPr fontId="1" type="noConversion"/>
  </si>
  <si>
    <t>黑龙江</t>
    <phoneticPr fontId="1" type="noConversion"/>
  </si>
  <si>
    <t>内蒙古</t>
    <phoneticPr fontId="1" type="noConversion"/>
  </si>
  <si>
    <t>乌斯季卡连加</t>
    <phoneticPr fontId="1" type="noConversion"/>
  </si>
  <si>
    <t>外贝加尔</t>
    <phoneticPr fontId="1" type="noConversion"/>
  </si>
  <si>
    <t>阿尔泰</t>
    <phoneticPr fontId="1" type="noConversion"/>
  </si>
  <si>
    <t>图瓦</t>
    <phoneticPr fontId="1" type="noConversion"/>
  </si>
  <si>
    <t>伊尔库茨克</t>
    <phoneticPr fontId="1" type="noConversion"/>
  </si>
  <si>
    <t>布里亚特</t>
    <phoneticPr fontId="1" type="noConversion"/>
  </si>
  <si>
    <t>哈巴罗夫斯克</t>
    <phoneticPr fontId="1" type="noConversion"/>
  </si>
  <si>
    <t>库苏古尔</t>
    <phoneticPr fontId="1" type="noConversion"/>
  </si>
  <si>
    <t>乌布苏</t>
    <phoneticPr fontId="1" type="noConversion"/>
  </si>
  <si>
    <t>扎布汗</t>
    <phoneticPr fontId="1" type="noConversion"/>
  </si>
  <si>
    <t>色楞格</t>
    <phoneticPr fontId="1" type="noConversion"/>
  </si>
  <si>
    <t>阿穆尔</t>
    <phoneticPr fontId="1" type="noConversion"/>
  </si>
  <si>
    <t>犹太州</t>
    <phoneticPr fontId="1" type="noConversion"/>
  </si>
  <si>
    <t>漠河</t>
    <phoneticPr fontId="1" type="noConversion"/>
  </si>
  <si>
    <t>巴彦洪戈尔</t>
    <phoneticPr fontId="1" type="noConversion"/>
  </si>
  <si>
    <t>古尔班布拉格</t>
    <phoneticPr fontId="1" type="noConversion"/>
  </si>
  <si>
    <t>Буянт-Ухаа</t>
    <phoneticPr fontId="1" type="noConversion"/>
  </si>
  <si>
    <t>Тэрэлж</t>
    <phoneticPr fontId="1" type="noConversion"/>
  </si>
  <si>
    <t>木兰</t>
    <phoneticPr fontId="1" type="noConversion"/>
  </si>
  <si>
    <t>黑龙江
哈尔滨</t>
    <phoneticPr fontId="1" type="noConversion"/>
  </si>
  <si>
    <t>(用于筛选)</t>
    <phoneticPr fontId="1" type="noConversion"/>
  </si>
  <si>
    <t>索菲斯克</t>
    <phoneticPr fontId="1" type="noConversion"/>
  </si>
  <si>
    <t>布鲁坎</t>
    <phoneticPr fontId="1" type="noConversion"/>
  </si>
  <si>
    <t>萨雷格谢普</t>
    <phoneticPr fontId="1" type="noConversion"/>
  </si>
  <si>
    <t>托拉赫姆</t>
    <phoneticPr fontId="1" type="noConversion"/>
  </si>
  <si>
    <t>东哈萨克斯坦州</t>
    <phoneticPr fontId="1" type="noConversion"/>
  </si>
  <si>
    <t>朝鲜</t>
    <phoneticPr fontId="1" type="noConversion"/>
  </si>
  <si>
    <t>三池渊</t>
    <phoneticPr fontId="1" type="noConversion"/>
  </si>
  <si>
    <t>两江道</t>
    <phoneticPr fontId="1" type="noConversion"/>
  </si>
  <si>
    <t>通戈科琴</t>
    <phoneticPr fontId="1" type="noConversion"/>
  </si>
  <si>
    <t>乌留皮诺</t>
    <phoneticPr fontId="1" type="noConversion"/>
  </si>
  <si>
    <t>东亚冷极PK</t>
    <phoneticPr fontId="1" type="noConversion"/>
  </si>
  <si>
    <t>托孙臣格勒</t>
    <phoneticPr fontId="1" type="noConversion"/>
  </si>
  <si>
    <r>
      <t xml:space="preserve">*. 为了计算平均气温时取点数一致，全部用八点平均法 ( </t>
    </r>
    <r>
      <rPr>
        <sz val="16"/>
        <color rgb="FFFFFF00"/>
        <rFont val="等线"/>
        <family val="3"/>
        <charset val="134"/>
        <scheme val="minor"/>
      </rPr>
      <t>木兰</t>
    </r>
    <r>
      <rPr>
        <sz val="16"/>
        <color theme="2" tint="-0.249977111117893"/>
        <rFont val="等线"/>
        <family val="3"/>
        <charset val="134"/>
        <scheme val="minor"/>
      </rPr>
      <t xml:space="preserve">除外 ) ;    纬度全部低于54°N ( </t>
    </r>
    <r>
      <rPr>
        <sz val="16"/>
        <color rgb="FFFFFF00"/>
        <rFont val="等线"/>
        <family val="3"/>
        <charset val="134"/>
        <scheme val="minor"/>
      </rPr>
      <t>乌斯季卡连加</t>
    </r>
    <r>
      <rPr>
        <sz val="16"/>
        <color theme="2" tint="-0.249977111117893"/>
        <rFont val="等线"/>
        <family val="3"/>
        <charset val="134"/>
        <scheme val="minor"/>
      </rPr>
      <t>除外 );    只考虑定居点
*. 数据源：http://climate-service.mn/ ( 蒙古 ) ;    https://www.pogodaiklimat.ru/ ( 俄罗斯+50136漠河站+巴音布鲁克 ) ;    NOAA GHCND ( 图里河 ) ;    nmc.cn ( 木兰, 四点平均法 )
*. 气候周期：蒙古乌布苏特斯1992~2020, 鄂特冈2000~2020.    蒙古库苏古尔的</t>
    </r>
    <r>
      <rPr>
        <sz val="16"/>
        <color rgb="FFFFFF00"/>
        <rFont val="等线"/>
        <family val="3"/>
        <charset val="134"/>
        <scheme val="minor"/>
      </rPr>
      <t>查干诺尔</t>
    </r>
    <r>
      <rPr>
        <sz val="16"/>
        <color theme="2" tint="-0.249977111117893"/>
        <rFont val="等线"/>
        <family val="3"/>
        <charset val="134"/>
        <scheme val="minor"/>
      </rPr>
      <t>一月平均气温-33.4℃，但观测时间可能不够长.    陈巴尔虎旗</t>
    </r>
    <r>
      <rPr>
        <sz val="16"/>
        <color rgb="FFFFFF00"/>
        <rFont val="等线"/>
        <family val="3"/>
        <charset val="134"/>
        <scheme val="minor"/>
      </rPr>
      <t>特泥河试验站</t>
    </r>
    <r>
      <rPr>
        <sz val="16"/>
        <color theme="2" tint="-0.249977111117893"/>
        <rFont val="等线"/>
        <family val="3"/>
        <charset val="134"/>
        <scheme val="minor"/>
      </rPr>
      <t>大概是国内常年一月平均气温最低站，根据上风站和邻站推测一月平均气温 -30.5℃</t>
    </r>
    <phoneticPr fontId="1" type="noConversion"/>
  </si>
  <si>
    <t>乌兰巴托市</t>
  </si>
  <si>
    <t>扎布汗</t>
  </si>
  <si>
    <t>色楞格</t>
  </si>
  <si>
    <t>达尔汗乌拉</t>
  </si>
  <si>
    <t>库苏古尔</t>
  </si>
  <si>
    <t>中央</t>
  </si>
  <si>
    <t>肯特</t>
  </si>
  <si>
    <t>巴彦乌列盖</t>
  </si>
  <si>
    <t>布尔干</t>
  </si>
  <si>
    <t>科布多</t>
  </si>
  <si>
    <t>东方</t>
  </si>
  <si>
    <t>后杭爱</t>
  </si>
  <si>
    <t>戈壁苏木贝尔</t>
  </si>
  <si>
    <t>戈壁阿尔泰</t>
  </si>
  <si>
    <t>鄂尔浑</t>
  </si>
  <si>
    <t>前杭爱</t>
  </si>
  <si>
    <t>中戈壁</t>
  </si>
  <si>
    <t>南戈壁</t>
  </si>
  <si>
    <t>黑龙江大兴安岭</t>
    <phoneticPr fontId="1" type="noConversion"/>
  </si>
  <si>
    <t>站点总数</t>
  </si>
  <si>
    <t>备注</t>
    <phoneticPr fontId="1" type="noConversion"/>
  </si>
  <si>
    <t>蒙古国</t>
    <phoneticPr fontId="1" type="noConversion"/>
  </si>
  <si>
    <t>一月平均气温(°C)</t>
    <phoneticPr fontId="1" type="noConversion"/>
  </si>
  <si>
    <t>二级区划</t>
    <phoneticPr fontId="1" type="noConversion"/>
  </si>
  <si>
    <t>内蒙古呼伦贝尔</t>
    <phoneticPr fontId="1" type="noConversion"/>
  </si>
  <si>
    <t>新疆阿勒泰</t>
    <phoneticPr fontId="1" type="noConversion"/>
  </si>
  <si>
    <t>黑龙江黑河</t>
    <phoneticPr fontId="1" type="noConversion"/>
  </si>
  <si>
    <t>蒙古国全国</t>
    <phoneticPr fontId="1" type="noConversion"/>
  </si>
  <si>
    <t>辽宁</t>
    <phoneticPr fontId="1" type="noConversion"/>
  </si>
  <si>
    <t>吉林</t>
    <phoneticPr fontId="1" type="noConversion"/>
  </si>
  <si>
    <t>河北</t>
    <phoneticPr fontId="1" type="noConversion"/>
  </si>
  <si>
    <t>山西</t>
    <phoneticPr fontId="1" type="noConversion"/>
  </si>
  <si>
    <t>陕西</t>
    <phoneticPr fontId="1" type="noConversion"/>
  </si>
  <si>
    <t>宁夏</t>
    <phoneticPr fontId="1" type="noConversion"/>
  </si>
  <si>
    <t>甘肃</t>
    <phoneticPr fontId="1" type="noConversion"/>
  </si>
  <si>
    <t>青海</t>
    <phoneticPr fontId="1" type="noConversion"/>
  </si>
  <si>
    <t>西藏</t>
    <phoneticPr fontId="1" type="noConversion"/>
  </si>
  <si>
    <t>山东</t>
    <phoneticPr fontId="1" type="noConversion"/>
  </si>
  <si>
    <t>河南</t>
    <phoneticPr fontId="1" type="noConversion"/>
  </si>
  <si>
    <t>四川</t>
    <phoneticPr fontId="1" type="noConversion"/>
  </si>
  <si>
    <t>云南</t>
    <phoneticPr fontId="1" type="noConversion"/>
  </si>
  <si>
    <t>贵州</t>
    <phoneticPr fontId="1" type="noConversion"/>
  </si>
  <si>
    <t>重庆</t>
    <phoneticPr fontId="1" type="noConversion"/>
  </si>
  <si>
    <t>广西</t>
    <phoneticPr fontId="1" type="noConversion"/>
  </si>
  <si>
    <t>广东</t>
    <phoneticPr fontId="1" type="noConversion"/>
  </si>
  <si>
    <t>海南</t>
    <phoneticPr fontId="1" type="noConversion"/>
  </si>
  <si>
    <t>湖南</t>
    <phoneticPr fontId="1" type="noConversion"/>
  </si>
  <si>
    <t>湖北</t>
    <phoneticPr fontId="1" type="noConversion"/>
  </si>
  <si>
    <t>江西</t>
    <phoneticPr fontId="1" type="noConversion"/>
  </si>
  <si>
    <t>安徽</t>
    <phoneticPr fontId="1" type="noConversion"/>
  </si>
  <si>
    <t>江苏</t>
    <phoneticPr fontId="1" type="noConversion"/>
  </si>
  <si>
    <t>浙江</t>
    <phoneticPr fontId="1" type="noConversion"/>
  </si>
  <si>
    <t>福建</t>
    <phoneticPr fontId="1" type="noConversion"/>
  </si>
  <si>
    <t>台湾</t>
    <phoneticPr fontId="1" type="noConversion"/>
  </si>
  <si>
    <t>香港</t>
    <phoneticPr fontId="1" type="noConversion"/>
  </si>
  <si>
    <t>澳门</t>
    <phoneticPr fontId="1" type="noConversion"/>
  </si>
  <si>
    <t>国内全国</t>
    <phoneticPr fontId="1" type="noConversion"/>
  </si>
  <si>
    <t>北京</t>
    <phoneticPr fontId="1" type="noConversion"/>
  </si>
  <si>
    <t>上海</t>
    <phoneticPr fontId="1" type="noConversion"/>
  </si>
  <si>
    <t>天津</t>
    <phoneticPr fontId="1" type="noConversion"/>
  </si>
  <si>
    <r>
      <rPr>
        <b/>
        <sz val="16"/>
        <color rgb="FFF72585"/>
        <rFont val="等线"/>
        <family val="3"/>
        <charset val="134"/>
        <scheme val="minor"/>
      </rPr>
      <t>1991~2020</t>
    </r>
    <r>
      <rPr>
        <b/>
        <sz val="16"/>
        <color theme="1"/>
        <rFont val="等线"/>
        <family val="3"/>
        <charset val="134"/>
        <scheme val="minor"/>
      </rPr>
      <t>一月平均气温，°C</t>
    </r>
    <phoneticPr fontId="1" type="noConversion"/>
  </si>
  <si>
    <t>1. 蒙古站点使用八点平均法
2. 国内站点使用四点平均法，对大部分国内站点，四点平均法稍低于八点平均法
3. 同纬度呼伦贝尔比大兴安岭平均更低，但是呼伦贝尔面积太大，暖区拉高了平均值
4. 乌布苏盆地绝大部分位于蒙古乌布苏省，一小部分属于俄罗斯图瓦。乌布苏盆地9个站点一月平均气温全部低于 -30.0 °C</t>
    <phoneticPr fontId="1" type="noConversion"/>
  </si>
  <si>
    <t>各省一月平均气温(多地混合版)</t>
    <phoneticPr fontId="1" type="noConversion"/>
  </si>
  <si>
    <t>阿穆尔</t>
    <phoneticPr fontId="1" type="noConversion"/>
  </si>
  <si>
    <t>俄罗斯</t>
    <phoneticPr fontId="1" type="noConversion"/>
  </si>
  <si>
    <t>外贝加尔</t>
    <phoneticPr fontId="1" type="noConversion"/>
  </si>
  <si>
    <t>犹太州</t>
    <phoneticPr fontId="1" type="noConversion"/>
  </si>
  <si>
    <t>阿尔泰共和国</t>
    <phoneticPr fontId="1" type="noConversion"/>
  </si>
  <si>
    <t>滨海边疆区</t>
    <phoneticPr fontId="1" type="noConversion"/>
  </si>
  <si>
    <t>库页岛(萨哈林州)</t>
    <phoneticPr fontId="1" type="noConversion"/>
  </si>
  <si>
    <t>哈卡斯</t>
    <phoneticPr fontId="1" type="noConversion"/>
  </si>
  <si>
    <t>克麦罗沃</t>
    <phoneticPr fontId="1" type="noConversion"/>
  </si>
  <si>
    <t>阿尔泰边疆区</t>
    <phoneticPr fontId="1" type="noConversion"/>
  </si>
  <si>
    <t>省 / Аймаг ...</t>
    <phoneticPr fontId="1" type="noConversion"/>
  </si>
  <si>
    <t>巴彦洪戈尔</t>
    <phoneticPr fontId="1" type="noConversion"/>
  </si>
  <si>
    <t>苏赫巴托尔</t>
    <phoneticPr fontId="1" type="noConversion"/>
  </si>
  <si>
    <t>乌布苏</t>
    <phoneticPr fontId="1" type="noConversion"/>
  </si>
  <si>
    <t>蒙古国</t>
    <phoneticPr fontId="1" type="noConversion"/>
  </si>
  <si>
    <t>蒙古国+图瓦</t>
    <phoneticPr fontId="1" type="noConversion"/>
  </si>
  <si>
    <t>极寒六区</t>
    <phoneticPr fontId="1" type="noConversion"/>
  </si>
  <si>
    <t>☆乌布苏盆地</t>
    <phoneticPr fontId="1" type="noConversion"/>
  </si>
  <si>
    <t>☆呼伦贝尔核心冷区</t>
    <phoneticPr fontId="1" type="noConversion"/>
  </si>
  <si>
    <t>奥伊米亚康</t>
    <phoneticPr fontId="1" type="noConversion"/>
  </si>
  <si>
    <t>北极村</t>
    <phoneticPr fontId="1" type="noConversion"/>
  </si>
  <si>
    <t>尤里卡</t>
    <phoneticPr fontId="1" type="noConversion"/>
  </si>
  <si>
    <t>卡拉绍克</t>
    <phoneticPr fontId="1" type="noConversion"/>
  </si>
  <si>
    <t>东方站</t>
    <phoneticPr fontId="1" type="noConversion"/>
  </si>
  <si>
    <t>乌米阿特</t>
    <phoneticPr fontId="1" type="noConversion"/>
  </si>
  <si>
    <t>布伦库勒</t>
    <phoneticPr fontId="1" type="noConversion"/>
  </si>
  <si>
    <t>🌏</t>
    <phoneticPr fontId="1" type="noConversion"/>
  </si>
  <si>
    <t>🪪</t>
    <phoneticPr fontId="1" type="noConversion"/>
  </si>
  <si>
    <t>北欧挪威</t>
    <phoneticPr fontId="1" type="noConversion"/>
  </si>
  <si>
    <t>格陵兰</t>
    <phoneticPr fontId="1" type="noConversion"/>
  </si>
  <si>
    <t>南极</t>
    <phoneticPr fontId="1" type="noConversion"/>
  </si>
  <si>
    <t>塔吉克斯坦</t>
    <phoneticPr fontId="1" type="noConversion"/>
  </si>
  <si>
    <t>俄罗斯
西伯利亚</t>
    <phoneticPr fontId="1" type="noConversion"/>
  </si>
  <si>
    <t>蒙古
乌布苏盆地</t>
    <phoneticPr fontId="1" type="noConversion"/>
  </si>
  <si>
    <t>黑龙江
大兴安岭</t>
    <phoneticPr fontId="1" type="noConversion"/>
  </si>
  <si>
    <t>加拿大
北极群岛</t>
    <phoneticPr fontId="1" type="noConversion"/>
  </si>
  <si>
    <t>美国
阿拉斯加</t>
    <phoneticPr fontId="1" type="noConversion"/>
  </si>
  <si>
    <t>俄罗斯
外兴安岭</t>
    <phoneticPr fontId="1" type="noConversion"/>
  </si>
  <si>
    <r>
      <t>隆冬月</t>
    </r>
    <r>
      <rPr>
        <b/>
        <sz val="36"/>
        <color theme="0"/>
        <rFont val="等线"/>
        <family val="3"/>
        <charset val="134"/>
        <scheme val="minor"/>
      </rPr>
      <t>历史最高气温(℃)</t>
    </r>
    <phoneticPr fontId="1" type="noConversion"/>
  </si>
  <si>
    <t>(一月)</t>
    <phoneticPr fontId="1" type="noConversion"/>
  </si>
  <si>
    <t>(二月)</t>
    <phoneticPr fontId="1" type="noConversion"/>
  </si>
  <si>
    <t>(八月)</t>
    <phoneticPr fontId="1" type="noConversion"/>
  </si>
  <si>
    <t>Summit Camp</t>
    <phoneticPr fontId="1" type="noConversion"/>
  </si>
  <si>
    <r>
      <rPr>
        <b/>
        <sz val="24"/>
        <color rgb="FFF72585"/>
        <rFont val="等线"/>
        <family val="3"/>
        <charset val="134"/>
        <scheme val="minor"/>
      </rPr>
      <t>隆冬月</t>
    </r>
    <r>
      <rPr>
        <b/>
        <sz val="24"/>
        <color theme="0"/>
        <rFont val="等线"/>
        <family val="3"/>
        <charset val="134"/>
        <scheme val="minor"/>
      </rPr>
      <t>最高气温</t>
    </r>
    <phoneticPr fontId="1" type="noConversion"/>
  </si>
  <si>
    <t>Toko监测站</t>
    <phoneticPr fontId="1" type="noConversion"/>
  </si>
  <si>
    <t>距离</t>
    <phoneticPr fontId="1" type="noConversion"/>
  </si>
  <si>
    <t>新疆
阿勒泰</t>
    <phoneticPr fontId="1" type="noConversion"/>
  </si>
  <si>
    <r>
      <t>世界"知名"</t>
    </r>
    <r>
      <rPr>
        <b/>
        <sz val="32"/>
        <color theme="0"/>
        <rFont val="等线"/>
        <family val="3"/>
        <charset val="134"/>
        <scheme val="minor"/>
      </rPr>
      <t>滑雪场</t>
    </r>
    <r>
      <rPr>
        <b/>
        <sz val="32"/>
        <color rgb="FF00B0F0"/>
        <rFont val="等线"/>
        <family val="3"/>
        <charset val="134"/>
        <scheme val="minor"/>
      </rPr>
      <t>极端低温对比</t>
    </r>
    <phoneticPr fontId="1" type="noConversion"/>
  </si>
  <si>
    <t>吐尔洪乡
2024-02-18</t>
    <phoneticPr fontId="1" type="noConversion"/>
  </si>
  <si>
    <t>将军山</t>
    <phoneticPr fontId="1" type="noConversion"/>
  </si>
  <si>
    <t>阿勒泰
1966-12-20</t>
    <phoneticPr fontId="1" type="noConversion"/>
  </si>
  <si>
    <t>尚志
2001-02-04</t>
    <phoneticPr fontId="1" type="noConversion"/>
  </si>
  <si>
    <t>长白山天池
2018-01-24</t>
    <phoneticPr fontId="1" type="noConversion"/>
  </si>
  <si>
    <t>一八一吊桥
2026-01-19</t>
    <phoneticPr fontId="1" type="noConversion"/>
  </si>
  <si>
    <t>旭川
1902-01-25</t>
    <phoneticPr fontId="1" type="noConversion"/>
  </si>
  <si>
    <t>桦甸
1970-01-04</t>
    <phoneticPr fontId="1" type="noConversion"/>
  </si>
  <si>
    <t>贝加尔斯克</t>
    <phoneticPr fontId="1" type="noConversion"/>
  </si>
  <si>
    <t>俄罗斯
伊尔库茨克</t>
    <phoneticPr fontId="1" type="noConversion"/>
  </si>
  <si>
    <t>Kljuchi
1916-01-16</t>
    <phoneticPr fontId="1" type="noConversion"/>
  </si>
  <si>
    <t>加拿大
BC</t>
    <phoneticPr fontId="1" type="noConversion"/>
  </si>
  <si>
    <t>惠斯勒</t>
    <phoneticPr fontId="1" type="noConversion"/>
  </si>
  <si>
    <t>Riksgransen
1958-01-05</t>
    <phoneticPr fontId="1" type="noConversion"/>
  </si>
  <si>
    <t>Dobbiaco
1987-01-13</t>
    <phoneticPr fontId="1" type="noConversion"/>
  </si>
  <si>
    <t>Nis
1963-01-25</t>
    <phoneticPr fontId="1" type="noConversion"/>
  </si>
  <si>
    <t>科帕奥尼卡</t>
    <phoneticPr fontId="1" type="noConversion"/>
  </si>
  <si>
    <t>Sugarloaf Rsvr
1962-01-10</t>
    <phoneticPr fontId="1" type="noConversion"/>
  </si>
  <si>
    <t>Pian Rosa (Mtn Top)
1971-03-06</t>
    <phoneticPr fontId="1" type="noConversion"/>
  </si>
  <si>
    <t>Jasper
1916-01-24</t>
    <phoneticPr fontId="1" type="noConversion"/>
  </si>
  <si>
    <t>基茨比厄尔</t>
    <phoneticPr fontId="1" type="noConversion"/>
  </si>
  <si>
    <t>哈萨克斯坦</t>
    <phoneticPr fontId="1" type="noConversion"/>
  </si>
  <si>
    <t>阿拉木图
1951-02-26</t>
    <phoneticPr fontId="1" type="noConversion"/>
  </si>
  <si>
    <t>Matsumoto
	1954-01-27</t>
    <phoneticPr fontId="1" type="noConversion"/>
  </si>
  <si>
    <t>Kazbek Mountain
1979-02-23</t>
    <phoneticPr fontId="1" type="noConversion"/>
  </si>
  <si>
    <t>Krasnaja Poljana
1950-01-12</t>
    <phoneticPr fontId="1" type="noConversion"/>
  </si>
  <si>
    <t>俄罗斯
克拉斯诺达尔</t>
    <phoneticPr fontId="1" type="noConversion"/>
  </si>
  <si>
    <t>俄罗斯
克麦罗沃</t>
    <phoneticPr fontId="1" type="noConversion"/>
  </si>
  <si>
    <t>舍列格什</t>
    <phoneticPr fontId="1" type="noConversion"/>
  </si>
  <si>
    <t>Tehran-mehrabad
1973-01 - 1&amp;2</t>
    <phoneticPr fontId="1" type="noConversion"/>
  </si>
  <si>
    <t>Kondoma
1969 - 01&amp;02</t>
    <phoneticPr fontId="1" type="noConversion"/>
  </si>
  <si>
    <t>Palisades Tahoe</t>
    <phoneticPr fontId="1" type="noConversion"/>
  </si>
  <si>
    <t>Boca
1937-01-20</t>
    <phoneticPr fontId="1" type="noConversion"/>
  </si>
  <si>
    <t>Telluride</t>
    <phoneticPr fontId="1" type="noConversion"/>
  </si>
  <si>
    <t>美国
科罗拉多</t>
    <phoneticPr fontId="1" type="noConversion"/>
  </si>
  <si>
    <t>美国
加利福尼亚</t>
    <phoneticPr fontId="1" type="noConversion"/>
  </si>
  <si>
    <t>Silverton
1985-02-01</t>
    <phoneticPr fontId="1" type="noConversion"/>
  </si>
  <si>
    <t>加拿大
艾伯塔</t>
    <phoneticPr fontId="1" type="noConversion"/>
  </si>
  <si>
    <t>采样站
最低气温日期</t>
    <phoneticPr fontId="1" type="noConversion"/>
  </si>
  <si>
    <t>可可托海水库
1960-01-21</t>
    <phoneticPr fontId="1" type="noConversion"/>
  </si>
  <si>
    <t>加拿大
BC</t>
    <phoneticPr fontId="1" type="noConversion"/>
  </si>
  <si>
    <t>CMH</t>
    <phoneticPr fontId="1" type="noConversion"/>
  </si>
  <si>
    <t>以内</t>
    <phoneticPr fontId="1" type="noConversion"/>
  </si>
  <si>
    <t>Valemount
1924-12-16</t>
    <phoneticPr fontId="1" type="noConversion"/>
  </si>
  <si>
    <t>长白山西坡</t>
    <phoneticPr fontId="1" type="noConversion"/>
  </si>
  <si>
    <t>克柳切夫</t>
    <phoneticPr fontId="1" type="noConversion"/>
  </si>
  <si>
    <t>加尔代纳</t>
    <phoneticPr fontId="1" type="noConversion"/>
  </si>
  <si>
    <t>禾木</t>
    <phoneticPr fontId="1" type="noConversion"/>
  </si>
  <si>
    <r>
      <t xml:space="preserve">Kuusamo Kiutakongas
</t>
    </r>
    <r>
      <rPr>
        <b/>
        <sz val="16"/>
        <color theme="0" tint="-0.34998626667073579"/>
        <rFont val="等线"/>
        <family val="3"/>
        <charset val="134"/>
        <scheme val="minor"/>
      </rPr>
      <t>1985-01-08</t>
    </r>
    <phoneticPr fontId="1" type="noConversion"/>
  </si>
  <si>
    <r>
      <t xml:space="preserve">Pemberton Meadows
</t>
    </r>
    <r>
      <rPr>
        <b/>
        <sz val="16"/>
        <color theme="0" tint="-0.34998626667073579"/>
        <rFont val="等线"/>
        <family val="3"/>
        <charset val="134"/>
        <scheme val="minor"/>
      </rPr>
      <t>1950-01-16</t>
    </r>
    <phoneticPr fontId="1" type="noConversion"/>
  </si>
  <si>
    <r>
      <rPr>
        <b/>
        <sz val="16"/>
        <color theme="0" tint="-0.34998626667073579"/>
        <rFont val="等线"/>
        <family val="3"/>
        <charset val="134"/>
        <scheme val="minor"/>
      </rPr>
      <t>Hamar-daban</t>
    </r>
    <r>
      <rPr>
        <b/>
        <sz val="11"/>
        <color theme="0" tint="-0.34998626667073579"/>
        <rFont val="等线"/>
        <family val="3"/>
        <charset val="134"/>
        <scheme val="minor"/>
      </rPr>
      <t xml:space="preserve">
1974-02-22; 2018-01-21</t>
    </r>
    <phoneticPr fontId="1" type="noConversion"/>
  </si>
  <si>
    <r>
      <t xml:space="preserve">Kiefersfelden-gach
</t>
    </r>
    <r>
      <rPr>
        <b/>
        <sz val="16"/>
        <color theme="0" tint="-0.34998626667073579"/>
        <rFont val="等线"/>
        <family val="3"/>
        <charset val="134"/>
        <scheme val="minor"/>
      </rPr>
      <t>1956-02-10</t>
    </r>
    <phoneticPr fontId="1" type="noConversion"/>
  </si>
  <si>
    <r>
      <t xml:space="preserve">Col Du Grand St-bernard
</t>
    </r>
    <r>
      <rPr>
        <b/>
        <sz val="16"/>
        <color theme="0" tint="-0.34998626667073579"/>
        <rFont val="等线"/>
        <family val="3"/>
        <charset val="134"/>
        <scheme val="minor"/>
      </rPr>
      <t>1986-02-10</t>
    </r>
    <phoneticPr fontId="1" type="noConversion"/>
  </si>
  <si>
    <t>松花湖</t>
    <phoneticPr fontId="1" type="noConversion"/>
  </si>
  <si>
    <t>吉林市
2001-01-13</t>
    <phoneticPr fontId="1" type="noConversion"/>
  </si>
  <si>
    <t>崇礼
2010-01-05</t>
    <phoneticPr fontId="1" type="noConversion"/>
  </si>
  <si>
    <r>
      <rPr>
        <b/>
        <sz val="20"/>
        <color rgb="FFFFC000"/>
        <rFont val="等线"/>
        <family val="3"/>
        <charset val="134"/>
        <scheme val="minor"/>
      </rPr>
      <t>冬均</t>
    </r>
    <r>
      <rPr>
        <b/>
        <sz val="20"/>
        <color theme="0"/>
        <rFont val="等线"/>
        <family val="3"/>
        <charset val="134"/>
        <scheme val="minor"/>
      </rPr>
      <t>最低气温</t>
    </r>
    <phoneticPr fontId="1" type="noConversion"/>
  </si>
  <si>
    <r>
      <rPr>
        <b/>
        <sz val="20"/>
        <color rgb="FFFFC000"/>
        <rFont val="等线"/>
        <family val="3"/>
        <charset val="134"/>
        <scheme val="minor"/>
      </rPr>
      <t>冬均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20"/>
        <color rgb="FFFFFF00"/>
        <rFont val="等线"/>
        <family val="3"/>
        <charset val="134"/>
        <scheme val="minor"/>
      </rPr>
      <t>昼</t>
    </r>
    <r>
      <rPr>
        <b/>
        <sz val="20"/>
        <color theme="0"/>
        <rFont val="等线"/>
        <family val="3"/>
        <charset val="134"/>
        <scheme val="minor"/>
      </rPr>
      <t>温</t>
    </r>
    <phoneticPr fontId="1" type="noConversion"/>
  </si>
  <si>
    <t>采样站
冬数 年份</t>
    <phoneticPr fontId="1" type="noConversion"/>
  </si>
  <si>
    <t>Big Wood</t>
    <phoneticPr fontId="1" type="noConversion"/>
  </si>
  <si>
    <t>俄罗斯
摩尔曼斯克</t>
    <phoneticPr fontId="1" type="noConversion"/>
  </si>
  <si>
    <r>
      <t>世界"知名"</t>
    </r>
    <r>
      <rPr>
        <b/>
        <sz val="32"/>
        <color theme="0"/>
        <rFont val="等线"/>
        <family val="3"/>
        <charset val="134"/>
        <scheme val="minor"/>
      </rPr>
      <t>滑雪场</t>
    </r>
    <r>
      <rPr>
        <b/>
        <sz val="32"/>
        <color rgb="FF00B0F0"/>
        <rFont val="等线"/>
        <family val="3"/>
        <charset val="134"/>
        <scheme val="minor"/>
      </rPr>
      <t>常年最低气温</t>
    </r>
    <phoneticPr fontId="1" type="noConversion"/>
  </si>
  <si>
    <t>新西兰</t>
    <phoneticPr fontId="1" type="noConversion"/>
  </si>
  <si>
    <t>卡德罗纳</t>
    <phoneticPr fontId="1" type="noConversion"/>
  </si>
  <si>
    <t>Tara Hills
25冬 1981~2010</t>
    <phoneticPr fontId="1" type="noConversion"/>
  </si>
  <si>
    <t>Krasnaja Poljana
30冬 80/81~09/10</t>
    <phoneticPr fontId="1" type="noConversion"/>
  </si>
  <si>
    <t>Nis
30冬 80/81~09/10</t>
    <phoneticPr fontId="1" type="noConversion"/>
  </si>
  <si>
    <t>Paganella
27冬 80/81~09/10</t>
    <phoneticPr fontId="1" type="noConversion"/>
  </si>
  <si>
    <t>Vladikavkaz
30冬 80/81~09/10</t>
    <phoneticPr fontId="1" type="noConversion"/>
  </si>
  <si>
    <r>
      <rPr>
        <b/>
        <sz val="12"/>
        <color theme="0" tint="-0.34998626667073579"/>
        <rFont val="等线"/>
        <family val="3"/>
        <charset val="134"/>
        <scheme val="minor"/>
      </rPr>
      <t>Col Du Grand St-bernard</t>
    </r>
    <r>
      <rPr>
        <b/>
        <sz val="14"/>
        <color theme="0" tint="-0.34998626667073579"/>
        <rFont val="等线"/>
        <family val="3"/>
        <charset val="134"/>
        <scheme val="minor"/>
      </rPr>
      <t xml:space="preserve">
30冬 80/81~09/10</t>
    </r>
    <phoneticPr fontId="1" type="noConversion"/>
  </si>
  <si>
    <t>Reit Im Winkl
26冬 80/81~09/10</t>
    <phoneticPr fontId="1" type="noConversion"/>
  </si>
  <si>
    <t>Cariboo Lodge
27冬 80/81~09/10</t>
    <phoneticPr fontId="1" type="noConversion"/>
  </si>
  <si>
    <t>Kljuchi
30冬 80/81~09/10</t>
    <phoneticPr fontId="1" type="noConversion"/>
  </si>
  <si>
    <t>Kandalaksa
30冬 80/81~09/10</t>
    <phoneticPr fontId="1" type="noConversion"/>
  </si>
  <si>
    <t>Kuusamo Kiutakongas
30冬 80/81~09/10</t>
    <phoneticPr fontId="1" type="noConversion"/>
  </si>
  <si>
    <t>Kuzedeevo
30冬 80/81~09/10</t>
    <phoneticPr fontId="1" type="noConversion"/>
  </si>
  <si>
    <t>Boca
28冬 80/81~09/10</t>
    <phoneticPr fontId="1" type="noConversion"/>
  </si>
  <si>
    <t>旭川
30冬 80/81~09/10</t>
    <phoneticPr fontId="1" type="noConversion"/>
  </si>
  <si>
    <t>Whistler Roundhouse
30冬 80/81~09/10</t>
    <phoneticPr fontId="1" type="noConversion"/>
  </si>
  <si>
    <t>Hamar-daban
30冬 80/81~09/10</t>
    <phoneticPr fontId="1" type="noConversion"/>
  </si>
  <si>
    <t>Silverton
27冬 80/81~09/10</t>
    <phoneticPr fontId="1" type="noConversion"/>
  </si>
  <si>
    <t>阿拉木图
26冬 80/81~09/10</t>
    <phoneticPr fontId="1" type="noConversion"/>
  </si>
  <si>
    <r>
      <t xml:space="preserve">Jasper Warden
30冬 </t>
    </r>
    <r>
      <rPr>
        <b/>
        <sz val="14"/>
        <color rgb="FFFFC000"/>
        <rFont val="等线"/>
        <family val="3"/>
        <charset val="134"/>
        <scheme val="minor"/>
      </rPr>
      <t>94/95~23/24</t>
    </r>
    <phoneticPr fontId="1" type="noConversion"/>
  </si>
  <si>
    <r>
      <t xml:space="preserve">Riksgransen
30冬 </t>
    </r>
    <r>
      <rPr>
        <b/>
        <sz val="14"/>
        <color rgb="FFFFFF00"/>
        <rFont val="等线"/>
        <family val="3"/>
        <charset val="134"/>
        <scheme val="minor"/>
      </rPr>
      <t>42/43~71/72</t>
    </r>
    <phoneticPr fontId="1" type="noConversion"/>
  </si>
  <si>
    <r>
      <t xml:space="preserve">Matsumoto
30冬 </t>
    </r>
    <r>
      <rPr>
        <b/>
        <sz val="14"/>
        <color rgb="FFFFFF00"/>
        <rFont val="等线"/>
        <family val="3"/>
        <charset val="134"/>
        <scheme val="minor"/>
      </rPr>
      <t>60/61~89/90</t>
    </r>
    <phoneticPr fontId="1" type="noConversion"/>
  </si>
  <si>
    <r>
      <t xml:space="preserve">天池(2620m)
30冬 </t>
    </r>
    <r>
      <rPr>
        <b/>
        <sz val="14"/>
        <color rgb="FFFFFF00"/>
        <rFont val="等线"/>
        <family val="3"/>
        <charset val="134"/>
        <scheme val="minor"/>
      </rPr>
      <t>58/59~87/88</t>
    </r>
    <phoneticPr fontId="1" type="noConversion"/>
  </si>
  <si>
    <r>
      <rPr>
        <b/>
        <sz val="13"/>
        <color theme="0" tint="-0.34998626667073579"/>
        <rFont val="等线"/>
        <family val="3"/>
        <charset val="134"/>
        <scheme val="minor"/>
      </rPr>
      <t>Argamji(俄罗斯 2280m)</t>
    </r>
    <r>
      <rPr>
        <b/>
        <sz val="14"/>
        <color theme="0" tint="-0.34998626667073579"/>
        <rFont val="等线"/>
        <family val="3"/>
        <charset val="134"/>
        <scheme val="minor"/>
      </rPr>
      <t xml:space="preserve">
11冬 </t>
    </r>
    <r>
      <rPr>
        <b/>
        <sz val="14"/>
        <color rgb="FFFFFF00"/>
        <rFont val="等线"/>
        <family val="3"/>
        <charset val="134"/>
        <scheme val="minor"/>
      </rPr>
      <t>68/69~81/82</t>
    </r>
    <phoneticPr fontId="1" type="noConversion"/>
  </si>
  <si>
    <t>青河(1219m)
30冬 80/81~09/10</t>
    <phoneticPr fontId="1" type="noConversion"/>
  </si>
  <si>
    <t>桦甸(263m)
30冬 80/81~09/10</t>
    <phoneticPr fontId="1" type="noConversion"/>
  </si>
  <si>
    <t>尚志(190m)
30冬 80/81~09/10</t>
    <phoneticPr fontId="1" type="noConversion"/>
  </si>
  <si>
    <t>阿勒泰机场(735m)
30冬 80/81~09/10</t>
    <phoneticPr fontId="1" type="noConversion"/>
  </si>
  <si>
    <r>
      <t>Grizzly Peak(</t>
    </r>
    <r>
      <rPr>
        <b/>
        <sz val="14"/>
        <color rgb="FFFFC000"/>
        <rFont val="等线"/>
        <family val="3"/>
        <charset val="134"/>
        <scheme val="minor"/>
      </rPr>
      <t>3383m</t>
    </r>
    <r>
      <rPr>
        <b/>
        <sz val="14"/>
        <color theme="0" tint="-0.34998626667073579"/>
        <rFont val="等线"/>
        <family val="3"/>
        <charset val="134"/>
        <scheme val="minor"/>
      </rPr>
      <t>)
27冬 80/81~09/10</t>
    </r>
    <phoneticPr fontId="1" type="noConversion"/>
  </si>
  <si>
    <t>沽源(1411m)
30冬 80/81~09/10</t>
    <phoneticPr fontId="1" type="noConversion"/>
  </si>
  <si>
    <t>吉林市(290m)
30冬 80/81~09/10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</si>
</sst>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"/>
    <numFmt numFmtId="177" formatCode="0.0_ "/>
    <numFmt numFmtId="178" formatCode="0&quot;m&quot;"/>
    <numFmt numFmtId="179" formatCode="0.00&quot;°N&quot;"/>
    <numFmt numFmtId="180" formatCode="0.0\℃"/>
    <numFmt numFmtId="181" formatCode="0&quot;公&quot;&quot;里&quot;"/>
  </numFmts>
  <fonts count="12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40"/>
      <color theme="0"/>
      <name val="等线"/>
      <family val="3"/>
      <charset val="134"/>
      <scheme val="minor"/>
    </font>
    <font>
      <sz val="20"/>
      <color theme="0"/>
      <name val="等线"/>
      <family val="3"/>
      <charset val="134"/>
      <scheme val="minor"/>
    </font>
    <font>
      <sz val="2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21"/>
      <color theme="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8"/>
      <color rgb="FFFFFF0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36"/>
      <color rgb="FFFFC000"/>
      <name val="等线"/>
      <family val="3"/>
      <charset val="134"/>
      <scheme val="minor"/>
    </font>
    <font>
      <b/>
      <sz val="32"/>
      <color rgb="FFFFC000"/>
      <name val="等线"/>
      <family val="3"/>
      <charset val="134"/>
      <scheme val="minor"/>
    </font>
    <font>
      <b/>
      <sz val="72"/>
      <color rgb="FF00B0F0"/>
      <name val="等线"/>
      <family val="3"/>
      <charset val="134"/>
      <scheme val="minor"/>
    </font>
    <font>
      <b/>
      <sz val="72"/>
      <color theme="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rgb="FF4CC9F0"/>
      <name val="等线"/>
      <family val="3"/>
      <charset val="134"/>
      <scheme val="minor"/>
    </font>
    <font>
      <sz val="28"/>
      <color theme="1"/>
      <name val="等线"/>
      <family val="3"/>
      <charset val="134"/>
      <scheme val="minor"/>
    </font>
    <font>
      <sz val="18"/>
      <color theme="0"/>
      <name val="等线"/>
      <family val="3"/>
      <charset val="134"/>
      <scheme val="minor"/>
    </font>
    <font>
      <sz val="26"/>
      <color theme="0"/>
      <name val="等线"/>
      <family val="3"/>
      <charset val="134"/>
      <scheme val="minor"/>
    </font>
    <font>
      <sz val="26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48"/>
      <color rgb="FFFFFF00"/>
      <name val="等线"/>
      <family val="3"/>
      <charset val="134"/>
      <scheme val="minor"/>
    </font>
    <font>
      <sz val="36"/>
      <color theme="0"/>
      <name val="等线"/>
      <family val="3"/>
      <charset val="134"/>
      <scheme val="minor"/>
    </font>
    <font>
      <b/>
      <sz val="70"/>
      <color theme="0"/>
      <name val="等线"/>
      <family val="3"/>
      <charset val="134"/>
      <scheme val="minor"/>
    </font>
    <font>
      <b/>
      <sz val="80"/>
      <color theme="0"/>
      <name val="等线"/>
      <family val="3"/>
      <charset val="134"/>
      <scheme val="minor"/>
    </font>
    <font>
      <b/>
      <sz val="80"/>
      <color rgb="FFFFFF00"/>
      <name val="等线"/>
      <family val="3"/>
      <charset val="134"/>
      <scheme val="minor"/>
    </font>
    <font>
      <b/>
      <sz val="26"/>
      <color rgb="FFF72585"/>
      <name val="等线"/>
      <family val="3"/>
      <charset val="134"/>
      <scheme val="minor"/>
    </font>
    <font>
      <b/>
      <sz val="26"/>
      <color rgb="FFFFEE32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5"/>
      <color theme="1"/>
      <name val="等线"/>
      <family val="3"/>
      <charset val="134"/>
      <scheme val="minor"/>
    </font>
    <font>
      <sz val="36"/>
      <color theme="1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3"/>
      <color theme="1"/>
      <name val="等线"/>
      <family val="3"/>
      <charset val="134"/>
      <scheme val="minor"/>
    </font>
    <font>
      <b/>
      <sz val="13"/>
      <color theme="0" tint="-0.499984740745262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16"/>
      <color rgb="FFFFC000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40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0"/>
      <color rgb="FFF72585"/>
      <name val="等线"/>
      <family val="3"/>
      <charset val="134"/>
      <scheme val="minor"/>
    </font>
    <font>
      <b/>
      <sz val="20"/>
      <color rgb="FFB5179E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18"/>
      <color rgb="FFF72585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26"/>
      <color rgb="FFFFFF00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2"/>
      <color theme="2" tint="-0.249977111117893"/>
      <name val="等线"/>
      <family val="3"/>
      <charset val="134"/>
      <scheme val="minor"/>
    </font>
    <font>
      <b/>
      <sz val="19"/>
      <color rgb="FF92D05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sz val="20"/>
      <color rgb="FF92D050"/>
      <name val="等线"/>
      <family val="3"/>
      <charset val="134"/>
      <scheme val="minor"/>
    </font>
    <font>
      <sz val="20"/>
      <color rgb="FF4CC9F0"/>
      <name val="等线"/>
      <family val="3"/>
      <charset val="134"/>
      <scheme val="minor"/>
    </font>
    <font>
      <sz val="20"/>
      <color theme="2" tint="-0.249977111117893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20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sz val="34"/>
      <color rgb="FFFFFFFF"/>
      <name val="等线"/>
      <family val="3"/>
      <charset val="134"/>
      <scheme val="minor"/>
    </font>
    <font>
      <sz val="34"/>
      <color rgb="FFFFFF00"/>
      <name val="等线"/>
      <family val="3"/>
      <charset val="134"/>
      <scheme val="minor"/>
    </font>
    <font>
      <sz val="34"/>
      <color rgb="FF000000"/>
      <name val="等线"/>
      <family val="3"/>
      <charset val="134"/>
      <scheme val="minor"/>
    </font>
    <font>
      <sz val="34"/>
      <color rgb="FF0000CC"/>
      <name val="等线"/>
      <family val="3"/>
      <charset val="134"/>
      <scheme val="minor"/>
    </font>
    <font>
      <sz val="20"/>
      <color theme="3" tint="0.39997558519241921"/>
      <name val="等线"/>
      <family val="3"/>
      <charset val="134"/>
      <scheme val="minor"/>
    </font>
    <font>
      <b/>
      <sz val="36"/>
      <color theme="3" tint="0.39997558519241921"/>
      <name val="等线"/>
      <family val="3"/>
      <charset val="134"/>
      <scheme val="minor"/>
    </font>
    <font>
      <sz val="20"/>
      <color rgb="FFFF0000"/>
      <name val="等线"/>
      <family val="3"/>
      <charset val="134"/>
      <scheme val="minor"/>
    </font>
    <font>
      <sz val="16"/>
      <color theme="2" tint="-0.249977111117893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4"/>
      <color theme="1" tint="0.499984740745262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22"/>
      <color rgb="FFFFFFFF"/>
      <name val="等线"/>
      <family val="3"/>
      <charset val="134"/>
      <scheme val="minor"/>
    </font>
    <font>
      <b/>
      <sz val="22"/>
      <color rgb="FFFFFF00"/>
      <name val="等线"/>
      <family val="3"/>
      <charset val="134"/>
      <scheme val="minor"/>
    </font>
    <font>
      <b/>
      <sz val="22"/>
      <color rgb="FF000000"/>
      <name val="等线"/>
      <family val="3"/>
      <charset val="134"/>
      <scheme val="minor"/>
    </font>
    <font>
      <b/>
      <sz val="22"/>
      <color rgb="FF0000CC"/>
      <name val="等线"/>
      <family val="3"/>
      <charset val="134"/>
      <scheme val="minor"/>
    </font>
    <font>
      <b/>
      <sz val="12"/>
      <color theme="1" tint="0.499984740745262"/>
      <name val="等线"/>
      <family val="3"/>
      <charset val="134"/>
      <scheme val="minor"/>
    </font>
    <font>
      <b/>
      <sz val="18"/>
      <color rgb="FF00B050"/>
      <name val="等线"/>
      <family val="3"/>
      <charset val="134"/>
      <scheme val="minor"/>
    </font>
    <font>
      <b/>
      <sz val="20"/>
      <color theme="1" tint="0.499984740745262"/>
      <name val="等线"/>
      <family val="3"/>
      <charset val="134"/>
      <scheme val="minor"/>
    </font>
    <font>
      <b/>
      <sz val="18"/>
      <color theme="5" tint="-0.499984740745262"/>
      <name val="等线"/>
      <family val="3"/>
      <charset val="134"/>
      <scheme val="minor"/>
    </font>
    <font>
      <b/>
      <sz val="17"/>
      <color theme="1"/>
      <name val="等线"/>
      <family val="3"/>
      <charset val="134"/>
      <scheme val="minor"/>
    </font>
    <font>
      <b/>
      <sz val="18"/>
      <color rgb="FF0070C0"/>
      <name val="等线"/>
      <family val="3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24"/>
      <color rgb="FF3F37C9"/>
      <name val="等线"/>
      <family val="3"/>
      <charset val="134"/>
      <scheme val="minor"/>
    </font>
    <font>
      <sz val="16"/>
      <color rgb="FF3F37C9"/>
      <name val="等线"/>
      <family val="3"/>
      <charset val="134"/>
      <scheme val="minor"/>
    </font>
    <font>
      <b/>
      <sz val="32"/>
      <color rgb="FFFFFFFF"/>
      <name val="等线"/>
      <family val="3"/>
      <charset val="134"/>
      <scheme val="minor"/>
    </font>
    <font>
      <b/>
      <sz val="32"/>
      <color rgb="FF000000"/>
      <name val="等线"/>
      <family val="3"/>
      <charset val="134"/>
      <scheme val="minor"/>
    </font>
    <font>
      <b/>
      <sz val="32"/>
      <color rgb="FF0000CC"/>
      <name val="等线"/>
      <family val="3"/>
      <charset val="134"/>
      <scheme val="minor"/>
    </font>
    <font>
      <sz val="18"/>
      <color rgb="FFFFFF00"/>
      <name val="等线"/>
      <family val="3"/>
      <charset val="134"/>
      <scheme val="minor"/>
    </font>
    <font>
      <sz val="18"/>
      <color rgb="FFFFFFFF"/>
      <name val="等线"/>
      <family val="3"/>
      <charset val="134"/>
      <scheme val="minor"/>
    </font>
    <font>
      <sz val="18"/>
      <color rgb="FF000000"/>
      <name val="等线"/>
      <family val="3"/>
      <charset val="134"/>
      <scheme val="minor"/>
    </font>
    <font>
      <sz val="18"/>
      <color rgb="FF0000CC"/>
      <name val="等线"/>
      <family val="3"/>
      <charset val="134"/>
      <scheme val="minor"/>
    </font>
    <font>
      <b/>
      <sz val="24"/>
      <color theme="0" tint="-0.249977111117893"/>
      <name val="Segoe UI Symbol"/>
      <family val="2"/>
    </font>
    <font>
      <b/>
      <sz val="24"/>
      <color theme="0" tint="-0.249977111117893"/>
      <name val="Segoe UI Emoji"/>
      <family val="2"/>
    </font>
    <font>
      <b/>
      <sz val="28"/>
      <color theme="0"/>
      <name val="等线"/>
      <family val="3"/>
      <charset val="134"/>
      <scheme val="minor"/>
    </font>
    <font>
      <b/>
      <sz val="32"/>
      <color theme="0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0"/>
      <color theme="1"/>
      <name val="等线"/>
      <family val="3"/>
      <charset val="134"/>
      <scheme val="minor"/>
    </font>
    <font>
      <b/>
      <sz val="32"/>
      <color rgb="FF00B0F0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12"/>
      <color rgb="FFFFC000"/>
      <name val="Segoe UI Symbol"/>
      <family val="3"/>
    </font>
    <font>
      <b/>
      <sz val="20"/>
      <color rgb="FFFF0000"/>
      <name val="等线"/>
      <family val="3"/>
      <charset val="134"/>
      <scheme val="minor"/>
    </font>
    <font>
      <b/>
      <sz val="14"/>
      <color theme="0" tint="-0.34998626667073579"/>
      <name val="等线"/>
      <family val="3"/>
      <charset val="134"/>
      <scheme val="minor"/>
    </font>
    <font>
      <b/>
      <sz val="24"/>
      <color rgb="FF92D050"/>
      <name val="等线"/>
      <family val="3"/>
      <charset val="134"/>
      <scheme val="minor"/>
    </font>
    <font>
      <b/>
      <sz val="24"/>
      <color theme="4" tint="0.3999755851924192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12"/>
      <color theme="0" tint="-0.34998626667073579"/>
      <name val="等线"/>
      <family val="3"/>
      <charset val="134"/>
      <scheme val="minor"/>
    </font>
    <font>
      <b/>
      <sz val="11"/>
      <color theme="0" tint="-0.34998626667073579"/>
      <name val="等线"/>
      <family val="3"/>
      <charset val="134"/>
      <scheme val="minor"/>
    </font>
    <font>
      <b/>
      <sz val="15"/>
      <color theme="0" tint="-0.34998626667073579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13"/>
      <color theme="0" tint="-0.34998626667073579"/>
      <name val="等线"/>
      <family val="3"/>
      <charset val="134"/>
      <scheme val="minor"/>
    </font>
  </fonts>
  <fills count="9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BB539"/>
        <bgColor indexed="64"/>
      </patternFill>
    </fill>
    <fill>
      <patternFill patternType="solid">
        <fgColor rgb="FFFAA307"/>
        <bgColor indexed="64"/>
      </patternFill>
    </fill>
    <fill>
      <patternFill patternType="solid">
        <fgColor rgb="FFF48C06"/>
        <bgColor indexed="64"/>
      </patternFill>
    </fill>
    <fill>
      <patternFill patternType="solid">
        <fgColor rgb="FFE85D04"/>
        <bgColor indexed="64"/>
      </patternFill>
    </fill>
    <fill>
      <patternFill patternType="solid">
        <fgColor rgb="FFDC2F02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rgb="FF9D0208"/>
        <bgColor indexed="64"/>
      </patternFill>
    </fill>
    <fill>
      <patternFill patternType="solid">
        <fgColor rgb="FF6A040F"/>
        <bgColor indexed="64"/>
      </patternFill>
    </fill>
    <fill>
      <patternFill patternType="solid">
        <fgColor rgb="FF370617"/>
        <bgColor indexed="64"/>
      </patternFill>
    </fill>
    <fill>
      <patternFill patternType="solid">
        <fgColor rgb="FF03071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6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0"/>
      </left>
      <right style="thick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 style="medium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/>
      <top style="thick">
        <color theme="0"/>
      </top>
      <bottom style="thick">
        <color theme="0"/>
      </bottom>
      <diagonal/>
    </border>
    <border>
      <left style="medium">
        <color theme="1"/>
      </left>
      <right/>
      <top style="thick">
        <color theme="0"/>
      </top>
      <bottom style="medium">
        <color theme="1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/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1"/>
      </right>
      <top style="thick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uble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1"/>
      </bottom>
      <diagonal/>
    </border>
    <border>
      <left/>
      <right/>
      <top style="thick">
        <color theme="0"/>
      </top>
      <bottom style="thick">
        <color theme="1"/>
      </bottom>
      <diagonal/>
    </border>
    <border>
      <left/>
      <right style="thick">
        <color theme="1"/>
      </right>
      <top style="thick">
        <color theme="0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8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 indent="1"/>
    </xf>
    <xf numFmtId="0" fontId="9" fillId="2" borderId="1" xfId="0" applyFont="1" applyFill="1" applyBorder="1" applyAlignment="1">
      <alignment horizontal="right" vertical="center"/>
    </xf>
    <xf numFmtId="0" fontId="11" fillId="2" borderId="1" xfId="0" applyFont="1" applyFill="1" applyBorder="1">
      <alignment vertical="center"/>
    </xf>
    <xf numFmtId="176" fontId="5" fillId="10" borderId="1" xfId="0" applyNumberFormat="1" applyFont="1" applyFill="1" applyBorder="1" applyAlignment="1">
      <alignment horizontal="center" vertical="center"/>
    </xf>
    <xf numFmtId="176" fontId="7" fillId="11" borderId="1" xfId="0" applyNumberFormat="1" applyFont="1" applyFill="1" applyBorder="1" applyAlignment="1">
      <alignment horizontal="center" vertical="center"/>
    </xf>
    <xf numFmtId="176" fontId="7" fillId="12" borderId="1" xfId="0" applyNumberFormat="1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10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 wrapText="1"/>
    </xf>
    <xf numFmtId="176" fontId="5" fillId="7" borderId="1" xfId="0" applyNumberFormat="1" applyFont="1" applyFill="1" applyBorder="1" applyAlignment="1">
      <alignment horizontal="center" vertical="center"/>
    </xf>
    <xf numFmtId="176" fontId="7" fillId="6" borderId="1" xfId="0" applyNumberFormat="1" applyFont="1" applyFill="1" applyBorder="1" applyAlignment="1">
      <alignment horizontal="center" vertical="center"/>
    </xf>
    <xf numFmtId="176" fontId="7" fillId="5" borderId="1" xfId="0" applyNumberFormat="1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>
      <alignment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5" fillId="2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2" borderId="1" xfId="0" applyFont="1" applyFill="1" applyBorder="1" applyAlignment="1">
      <alignment horizontal="right" vertical="center" indent="1"/>
    </xf>
    <xf numFmtId="0" fontId="24" fillId="2" borderId="1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right" vertical="center" indent="1"/>
    </xf>
    <xf numFmtId="0" fontId="24" fillId="2" borderId="19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horizontal="right" vertical="center"/>
    </xf>
    <xf numFmtId="0" fontId="24" fillId="2" borderId="18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vertical="center" wrapText="1"/>
    </xf>
    <xf numFmtId="0" fontId="11" fillId="2" borderId="21" xfId="0" applyFont="1" applyFill="1" applyBorder="1">
      <alignment vertical="center"/>
    </xf>
    <xf numFmtId="0" fontId="27" fillId="2" borderId="21" xfId="0" applyFont="1" applyFill="1" applyBorder="1">
      <alignment vertical="center"/>
    </xf>
    <xf numFmtId="0" fontId="11" fillId="2" borderId="22" xfId="0" applyFont="1" applyFill="1" applyBorder="1">
      <alignment vertical="center"/>
    </xf>
    <xf numFmtId="0" fontId="15" fillId="2" borderId="3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28" fillId="2" borderId="23" xfId="0" applyFont="1" applyFill="1" applyBorder="1" applyAlignment="1">
      <alignment horizontal="center" vertical="center"/>
    </xf>
    <xf numFmtId="176" fontId="25" fillId="19" borderId="20" xfId="0" applyNumberFormat="1" applyFont="1" applyFill="1" applyBorder="1" applyAlignment="1">
      <alignment horizontal="right" vertical="center"/>
    </xf>
    <xf numFmtId="176" fontId="25" fillId="17" borderId="20" xfId="0" applyNumberFormat="1" applyFont="1" applyFill="1" applyBorder="1" applyAlignment="1">
      <alignment horizontal="right" vertical="center"/>
    </xf>
    <xf numFmtId="176" fontId="26" fillId="15" borderId="20" xfId="0" applyNumberFormat="1" applyFont="1" applyFill="1" applyBorder="1" applyAlignment="1">
      <alignment horizontal="right" vertical="center"/>
    </xf>
    <xf numFmtId="176" fontId="26" fillId="16" borderId="20" xfId="0" applyNumberFormat="1" applyFont="1" applyFill="1" applyBorder="1" applyAlignment="1">
      <alignment horizontal="right" vertical="center"/>
    </xf>
    <xf numFmtId="176" fontId="25" fillId="18" borderId="20" xfId="0" applyNumberFormat="1" applyFont="1" applyFill="1" applyBorder="1" applyAlignment="1">
      <alignment horizontal="right" vertical="center"/>
    </xf>
    <xf numFmtId="176" fontId="25" fillId="20" borderId="20" xfId="0" applyNumberFormat="1" applyFont="1" applyFill="1" applyBorder="1" applyAlignment="1">
      <alignment horizontal="right" vertical="center"/>
    </xf>
    <xf numFmtId="176" fontId="34" fillId="23" borderId="20" xfId="0" applyNumberFormat="1" applyFont="1" applyFill="1" applyBorder="1" applyAlignment="1">
      <alignment horizontal="right" vertical="center"/>
    </xf>
    <xf numFmtId="176" fontId="25" fillId="22" borderId="20" xfId="0" applyNumberFormat="1" applyFont="1" applyFill="1" applyBorder="1" applyAlignment="1">
      <alignment horizontal="right" vertical="center"/>
    </xf>
    <xf numFmtId="176" fontId="25" fillId="21" borderId="20" xfId="0" applyNumberFormat="1" applyFont="1" applyFill="1" applyBorder="1" applyAlignment="1">
      <alignment horizontal="right" vertical="center"/>
    </xf>
    <xf numFmtId="176" fontId="25" fillId="23" borderId="20" xfId="0" applyNumberFormat="1" applyFont="1" applyFill="1" applyBorder="1" applyAlignment="1">
      <alignment horizontal="right" vertical="center"/>
    </xf>
    <xf numFmtId="176" fontId="25" fillId="22" borderId="24" xfId="0" applyNumberFormat="1" applyFont="1" applyFill="1" applyBorder="1" applyAlignment="1">
      <alignment horizontal="right" vertical="center"/>
    </xf>
    <xf numFmtId="176" fontId="26" fillId="15" borderId="24" xfId="0" applyNumberFormat="1" applyFont="1" applyFill="1" applyBorder="1" applyAlignment="1">
      <alignment horizontal="right" vertical="center"/>
    </xf>
    <xf numFmtId="176" fontId="25" fillId="21" borderId="24" xfId="0" applyNumberFormat="1" applyFont="1" applyFill="1" applyBorder="1" applyAlignment="1">
      <alignment horizontal="right" vertical="center"/>
    </xf>
    <xf numFmtId="176" fontId="25" fillId="18" borderId="24" xfId="0" applyNumberFormat="1" applyFont="1" applyFill="1" applyBorder="1" applyAlignment="1">
      <alignment horizontal="right" vertical="center"/>
    </xf>
    <xf numFmtId="176" fontId="25" fillId="20" borderId="24" xfId="0" applyNumberFormat="1" applyFont="1" applyFill="1" applyBorder="1" applyAlignment="1">
      <alignment horizontal="right" vertical="center"/>
    </xf>
    <xf numFmtId="176" fontId="34" fillId="23" borderId="24" xfId="0" applyNumberFormat="1" applyFont="1" applyFill="1" applyBorder="1" applyAlignment="1">
      <alignment horizontal="right" vertical="center"/>
    </xf>
    <xf numFmtId="176" fontId="25" fillId="23" borderId="24" xfId="0" applyNumberFormat="1" applyFont="1" applyFill="1" applyBorder="1" applyAlignment="1">
      <alignment horizontal="right" vertical="center"/>
    </xf>
    <xf numFmtId="176" fontId="25" fillId="17" borderId="24" xfId="0" applyNumberFormat="1" applyFont="1" applyFill="1" applyBorder="1" applyAlignment="1">
      <alignment horizontal="right" vertical="center"/>
    </xf>
    <xf numFmtId="176" fontId="25" fillId="19" borderId="24" xfId="0" applyNumberFormat="1" applyFont="1" applyFill="1" applyBorder="1" applyAlignment="1">
      <alignment horizontal="right" vertical="center"/>
    </xf>
    <xf numFmtId="176" fontId="25" fillId="20" borderId="26" xfId="0" applyNumberFormat="1" applyFont="1" applyFill="1" applyBorder="1" applyAlignment="1">
      <alignment horizontal="right" vertical="center"/>
    </xf>
    <xf numFmtId="176" fontId="25" fillId="18" borderId="26" xfId="0" applyNumberFormat="1" applyFont="1" applyFill="1" applyBorder="1" applyAlignment="1">
      <alignment horizontal="right" vertical="center"/>
    </xf>
    <xf numFmtId="176" fontId="25" fillId="19" borderId="26" xfId="0" applyNumberFormat="1" applyFont="1" applyFill="1" applyBorder="1" applyAlignment="1">
      <alignment horizontal="right" vertical="center"/>
    </xf>
    <xf numFmtId="176" fontId="26" fillId="16" borderId="26" xfId="0" applyNumberFormat="1" applyFont="1" applyFill="1" applyBorder="1" applyAlignment="1">
      <alignment horizontal="right" vertical="center"/>
    </xf>
    <xf numFmtId="176" fontId="25" fillId="21" borderId="26" xfId="0" applyNumberFormat="1" applyFont="1" applyFill="1" applyBorder="1" applyAlignment="1">
      <alignment horizontal="right" vertical="center"/>
    </xf>
    <xf numFmtId="176" fontId="25" fillId="22" borderId="26" xfId="0" applyNumberFormat="1" applyFont="1" applyFill="1" applyBorder="1" applyAlignment="1">
      <alignment horizontal="right" vertical="center"/>
    </xf>
    <xf numFmtId="176" fontId="25" fillId="20" borderId="25" xfId="0" applyNumberFormat="1" applyFont="1" applyFill="1" applyBorder="1" applyAlignment="1">
      <alignment horizontal="right" vertical="center"/>
    </xf>
    <xf numFmtId="176" fontId="25" fillId="19" borderId="28" xfId="0" applyNumberFormat="1" applyFont="1" applyFill="1" applyBorder="1" applyAlignment="1">
      <alignment horizontal="right" vertical="center"/>
    </xf>
    <xf numFmtId="176" fontId="25" fillId="17" borderId="28" xfId="0" applyNumberFormat="1" applyFont="1" applyFill="1" applyBorder="1" applyAlignment="1">
      <alignment horizontal="right" vertical="center"/>
    </xf>
    <xf numFmtId="176" fontId="26" fillId="15" borderId="28" xfId="0" applyNumberFormat="1" applyFont="1" applyFill="1" applyBorder="1" applyAlignment="1">
      <alignment horizontal="right" vertical="center"/>
    </xf>
    <xf numFmtId="176" fontId="26" fillId="16" borderId="28" xfId="0" applyNumberFormat="1" applyFont="1" applyFill="1" applyBorder="1" applyAlignment="1">
      <alignment horizontal="right" vertical="center"/>
    </xf>
    <xf numFmtId="176" fontId="25" fillId="18" borderId="28" xfId="0" applyNumberFormat="1" applyFont="1" applyFill="1" applyBorder="1" applyAlignment="1">
      <alignment horizontal="right" vertical="center"/>
    </xf>
    <xf numFmtId="176" fontId="25" fillId="20" borderId="28" xfId="0" applyNumberFormat="1" applyFont="1" applyFill="1" applyBorder="1" applyAlignment="1">
      <alignment horizontal="right" vertical="center"/>
    </xf>
    <xf numFmtId="176" fontId="26" fillId="16" borderId="27" xfId="0" applyNumberFormat="1" applyFont="1" applyFill="1" applyBorder="1" applyAlignment="1">
      <alignment horizontal="right" vertical="center"/>
    </xf>
    <xf numFmtId="176" fontId="25" fillId="19" borderId="29" xfId="0" applyNumberFormat="1" applyFont="1" applyFill="1" applyBorder="1" applyAlignment="1">
      <alignment horizontal="right" vertical="center"/>
    </xf>
    <xf numFmtId="176" fontId="25" fillId="17" borderId="30" xfId="0" applyNumberFormat="1" applyFont="1" applyFill="1" applyBorder="1" applyAlignment="1">
      <alignment horizontal="right" vertical="center"/>
    </xf>
    <xf numFmtId="176" fontId="25" fillId="22" borderId="30" xfId="0" applyNumberFormat="1" applyFont="1" applyFill="1" applyBorder="1" applyAlignment="1">
      <alignment horizontal="right" vertical="center"/>
    </xf>
    <xf numFmtId="176" fontId="34" fillId="23" borderId="30" xfId="0" applyNumberFormat="1" applyFont="1" applyFill="1" applyBorder="1" applyAlignment="1">
      <alignment horizontal="right" vertical="center"/>
    </xf>
    <xf numFmtId="176" fontId="25" fillId="18" borderId="30" xfId="0" applyNumberFormat="1" applyFont="1" applyFill="1" applyBorder="1" applyAlignment="1">
      <alignment horizontal="right" vertical="center"/>
    </xf>
    <xf numFmtId="176" fontId="26" fillId="16" borderId="30" xfId="0" applyNumberFormat="1" applyFont="1" applyFill="1" applyBorder="1" applyAlignment="1">
      <alignment horizontal="right" vertical="center"/>
    </xf>
    <xf numFmtId="176" fontId="26" fillId="14" borderId="30" xfId="0" applyNumberFormat="1" applyFont="1" applyFill="1" applyBorder="1" applyAlignment="1">
      <alignment horizontal="right" vertical="center"/>
    </xf>
    <xf numFmtId="176" fontId="26" fillId="15" borderId="30" xfId="0" applyNumberFormat="1" applyFont="1" applyFill="1" applyBorder="1" applyAlignment="1">
      <alignment horizontal="right" vertical="center"/>
    </xf>
    <xf numFmtId="176" fontId="25" fillId="20" borderId="30" xfId="0" applyNumberFormat="1" applyFont="1" applyFill="1" applyBorder="1" applyAlignment="1">
      <alignment horizontal="right" vertical="center"/>
    </xf>
    <xf numFmtId="176" fontId="25" fillId="21" borderId="30" xfId="0" applyNumberFormat="1" applyFont="1" applyFill="1" applyBorder="1" applyAlignment="1">
      <alignment horizontal="right" vertical="center"/>
    </xf>
    <xf numFmtId="176" fontId="25" fillId="20" borderId="31" xfId="0" applyNumberFormat="1" applyFont="1" applyFill="1" applyBorder="1" applyAlignment="1">
      <alignment horizontal="right" vertical="center"/>
    </xf>
    <xf numFmtId="176" fontId="33" fillId="14" borderId="20" xfId="0" applyNumberFormat="1" applyFont="1" applyFill="1" applyBorder="1" applyAlignment="1">
      <alignment horizontal="right" vertical="center"/>
    </xf>
    <xf numFmtId="176" fontId="33" fillId="14" borderId="30" xfId="0" applyNumberFormat="1" applyFont="1" applyFill="1" applyBorder="1" applyAlignment="1">
      <alignment horizontal="right" vertical="center"/>
    </xf>
    <xf numFmtId="176" fontId="33" fillId="14" borderId="24" xfId="0" applyNumberFormat="1" applyFont="1" applyFill="1" applyBorder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177" fontId="36" fillId="0" borderId="33" xfId="0" applyNumberFormat="1" applyFont="1" applyBorder="1" applyAlignment="1">
      <alignment horizontal="center" vertical="center"/>
    </xf>
    <xf numFmtId="177" fontId="36" fillId="0" borderId="32" xfId="0" applyNumberFormat="1" applyFont="1" applyBorder="1" applyAlignment="1">
      <alignment horizontal="center" vertical="center"/>
    </xf>
    <xf numFmtId="177" fontId="36" fillId="0" borderId="34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177" fontId="36" fillId="0" borderId="36" xfId="0" applyNumberFormat="1" applyFont="1" applyBorder="1" applyAlignment="1">
      <alignment horizontal="center" vertical="center" wrapText="1"/>
    </xf>
    <xf numFmtId="177" fontId="36" fillId="0" borderId="38" xfId="0" applyNumberFormat="1" applyFont="1" applyBorder="1" applyAlignment="1">
      <alignment horizontal="center" vertical="center" wrapText="1"/>
    </xf>
    <xf numFmtId="177" fontId="37" fillId="0" borderId="36" xfId="0" applyNumberFormat="1" applyFont="1" applyBorder="1" applyAlignment="1">
      <alignment horizontal="center" vertical="center" wrapText="1"/>
    </xf>
    <xf numFmtId="177" fontId="37" fillId="0" borderId="38" xfId="0" applyNumberFormat="1" applyFont="1" applyBorder="1" applyAlignment="1">
      <alignment horizontal="center" vertical="center" wrapText="1"/>
    </xf>
    <xf numFmtId="177" fontId="37" fillId="0" borderId="37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 vertical="center" indent="3"/>
    </xf>
    <xf numFmtId="0" fontId="36" fillId="0" borderId="34" xfId="0" applyFont="1" applyBorder="1" applyAlignment="1">
      <alignment horizontal="right" vertical="center" indent="3"/>
    </xf>
    <xf numFmtId="0" fontId="38" fillId="0" borderId="0" xfId="0" applyFont="1">
      <alignment vertical="center"/>
    </xf>
    <xf numFmtId="0" fontId="40" fillId="0" borderId="34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 wrapText="1"/>
    </xf>
    <xf numFmtId="0" fontId="41" fillId="0" borderId="34" xfId="0" applyFont="1" applyBorder="1" applyAlignment="1">
      <alignment horizontal="center" vertical="center"/>
    </xf>
    <xf numFmtId="0" fontId="42" fillId="2" borderId="40" xfId="0" applyFont="1" applyFill="1" applyBorder="1" applyAlignment="1">
      <alignment horizontal="center" vertical="center"/>
    </xf>
    <xf numFmtId="176" fontId="27" fillId="2" borderId="40" xfId="0" applyNumberFormat="1" applyFont="1" applyFill="1" applyBorder="1" applyAlignment="1">
      <alignment horizontal="right" vertical="center"/>
    </xf>
    <xf numFmtId="176" fontId="43" fillId="2" borderId="40" xfId="0" applyNumberFormat="1" applyFont="1" applyFill="1" applyBorder="1" applyAlignment="1">
      <alignment horizontal="right" vertical="center"/>
    </xf>
    <xf numFmtId="0" fontId="44" fillId="2" borderId="40" xfId="0" applyFont="1" applyFill="1" applyBorder="1" applyAlignment="1">
      <alignment horizontal="center" vertical="center"/>
    </xf>
    <xf numFmtId="0" fontId="45" fillId="2" borderId="40" xfId="0" applyFont="1" applyFill="1" applyBorder="1" applyAlignment="1">
      <alignment horizontal="center" vertical="center" wrapText="1"/>
    </xf>
    <xf numFmtId="0" fontId="45" fillId="2" borderId="40" xfId="0" applyFont="1" applyFill="1" applyBorder="1" applyAlignment="1">
      <alignment horizontal="center" vertical="center"/>
    </xf>
    <xf numFmtId="0" fontId="46" fillId="2" borderId="40" xfId="0" applyFont="1" applyFill="1" applyBorder="1" applyAlignment="1">
      <alignment horizontal="center" vertical="center"/>
    </xf>
    <xf numFmtId="176" fontId="48" fillId="2" borderId="40" xfId="0" applyNumberFormat="1" applyFont="1" applyFill="1" applyBorder="1" applyAlignment="1">
      <alignment horizontal="right" vertical="center"/>
    </xf>
    <xf numFmtId="176" fontId="50" fillId="2" borderId="40" xfId="0" applyNumberFormat="1" applyFont="1" applyFill="1" applyBorder="1" applyAlignment="1">
      <alignment horizontal="right" vertical="center"/>
    </xf>
    <xf numFmtId="176" fontId="51" fillId="2" borderId="40" xfId="0" applyNumberFormat="1" applyFont="1" applyFill="1" applyBorder="1" applyAlignment="1">
      <alignment horizontal="right" vertical="center"/>
    </xf>
    <xf numFmtId="0" fontId="49" fillId="2" borderId="40" xfId="0" applyFont="1" applyFill="1" applyBorder="1" applyAlignment="1">
      <alignment horizontal="center" vertical="center"/>
    </xf>
    <xf numFmtId="0" fontId="52" fillId="2" borderId="40" xfId="0" applyFont="1" applyFill="1" applyBorder="1" applyAlignment="1">
      <alignment horizontal="center" vertical="center"/>
    </xf>
    <xf numFmtId="0" fontId="53" fillId="2" borderId="4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3" fillId="2" borderId="20" xfId="0" applyFont="1" applyFill="1" applyBorder="1" applyAlignment="1">
      <alignment horizontal="center" vertical="center"/>
    </xf>
    <xf numFmtId="176" fontId="57" fillId="2" borderId="47" xfId="0" applyNumberFormat="1" applyFont="1" applyFill="1" applyBorder="1" applyAlignment="1">
      <alignment horizontal="center" vertical="center"/>
    </xf>
    <xf numFmtId="176" fontId="57" fillId="2" borderId="20" xfId="0" applyNumberFormat="1" applyFont="1" applyFill="1" applyBorder="1" applyAlignment="1">
      <alignment horizontal="center" vertical="center"/>
    </xf>
    <xf numFmtId="176" fontId="57" fillId="2" borderId="46" xfId="0" applyNumberFormat="1" applyFont="1" applyFill="1" applyBorder="1" applyAlignment="1">
      <alignment horizontal="center" vertical="center"/>
    </xf>
    <xf numFmtId="176" fontId="57" fillId="2" borderId="45" xfId="0" applyNumberFormat="1" applyFont="1" applyFill="1" applyBorder="1" applyAlignment="1">
      <alignment horizontal="center" vertical="center"/>
    </xf>
    <xf numFmtId="176" fontId="42" fillId="2" borderId="47" xfId="0" applyNumberFormat="1" applyFont="1" applyFill="1" applyBorder="1" applyAlignment="1">
      <alignment horizontal="center" vertical="center"/>
    </xf>
    <xf numFmtId="176" fontId="42" fillId="2" borderId="20" xfId="0" applyNumberFormat="1" applyFont="1" applyFill="1" applyBorder="1" applyAlignment="1">
      <alignment horizontal="center" vertical="center"/>
    </xf>
    <xf numFmtId="176" fontId="42" fillId="2" borderId="46" xfId="0" applyNumberFormat="1" applyFont="1" applyFill="1" applyBorder="1" applyAlignment="1">
      <alignment horizontal="center" vertical="center"/>
    </xf>
    <xf numFmtId="176" fontId="42" fillId="2" borderId="45" xfId="0" applyNumberFormat="1" applyFont="1" applyFill="1" applyBorder="1" applyAlignment="1">
      <alignment horizontal="center" vertical="center"/>
    </xf>
    <xf numFmtId="0" fontId="42" fillId="2" borderId="47" xfId="0" applyFont="1" applyFill="1" applyBorder="1" applyAlignment="1">
      <alignment horizontal="center" vertical="center" wrapText="1"/>
    </xf>
    <xf numFmtId="0" fontId="56" fillId="2" borderId="20" xfId="0" applyFont="1" applyFill="1" applyBorder="1" applyAlignment="1">
      <alignment horizontal="center" vertical="center" wrapText="1"/>
    </xf>
    <xf numFmtId="0" fontId="42" fillId="2" borderId="46" xfId="0" applyFont="1" applyFill="1" applyBorder="1" applyAlignment="1">
      <alignment horizontal="center" vertical="center" wrapText="1"/>
    </xf>
    <xf numFmtId="0" fontId="42" fillId="2" borderId="45" xfId="0" applyFont="1" applyFill="1" applyBorder="1" applyAlignment="1">
      <alignment horizontal="center" vertical="center" wrapText="1"/>
    </xf>
    <xf numFmtId="0" fontId="42" fillId="2" borderId="20" xfId="0" applyFont="1" applyFill="1" applyBorder="1" applyAlignment="1">
      <alignment horizontal="center" vertical="center" wrapText="1"/>
    </xf>
    <xf numFmtId="0" fontId="42" fillId="2" borderId="44" xfId="0" applyFont="1" applyFill="1" applyBorder="1" applyAlignment="1">
      <alignment horizontal="left" vertical="center"/>
    </xf>
    <xf numFmtId="0" fontId="58" fillId="2" borderId="48" xfId="0" applyFont="1" applyFill="1" applyBorder="1">
      <alignment vertical="center"/>
    </xf>
    <xf numFmtId="0" fontId="59" fillId="2" borderId="40" xfId="0" applyFont="1" applyFill="1" applyBorder="1">
      <alignment vertical="center"/>
    </xf>
    <xf numFmtId="0" fontId="59" fillId="2" borderId="40" xfId="0" applyFont="1" applyFill="1" applyBorder="1" applyAlignment="1">
      <alignment horizontal="center" vertical="center"/>
    </xf>
    <xf numFmtId="49" fontId="59" fillId="2" borderId="4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63" fillId="2" borderId="40" xfId="0" applyFont="1" applyFill="1" applyBorder="1" applyAlignment="1">
      <alignment vertical="center" wrapText="1"/>
    </xf>
    <xf numFmtId="0" fontId="60" fillId="2" borderId="40" xfId="0" applyFont="1" applyFill="1" applyBorder="1" applyAlignment="1">
      <alignment horizontal="right" vertical="center" wrapText="1"/>
    </xf>
    <xf numFmtId="0" fontId="57" fillId="2" borderId="40" xfId="0" applyFont="1" applyFill="1" applyBorder="1" applyAlignment="1">
      <alignment vertical="center" wrapText="1"/>
    </xf>
    <xf numFmtId="0" fontId="61" fillId="2" borderId="40" xfId="0" applyFont="1" applyFill="1" applyBorder="1" applyAlignment="1">
      <alignment vertical="center" wrapText="1"/>
    </xf>
    <xf numFmtId="0" fontId="64" fillId="2" borderId="40" xfId="0" applyFont="1" applyFill="1" applyBorder="1" applyAlignment="1">
      <alignment horizontal="right" vertical="center" wrapText="1"/>
    </xf>
    <xf numFmtId="176" fontId="65" fillId="26" borderId="51" xfId="0" applyNumberFormat="1" applyFont="1" applyFill="1" applyBorder="1" applyAlignment="1">
      <alignment horizontal="right" vertical="center"/>
    </xf>
    <xf numFmtId="176" fontId="65" fillId="27" borderId="51" xfId="0" applyNumberFormat="1" applyFont="1" applyFill="1" applyBorder="1" applyAlignment="1">
      <alignment horizontal="right" vertical="center"/>
    </xf>
    <xf numFmtId="176" fontId="66" fillId="28" borderId="51" xfId="0" applyNumberFormat="1" applyFont="1" applyFill="1" applyBorder="1" applyAlignment="1">
      <alignment horizontal="right" vertical="center"/>
    </xf>
    <xf numFmtId="176" fontId="66" fillId="29" borderId="51" xfId="0" applyNumberFormat="1" applyFont="1" applyFill="1" applyBorder="1" applyAlignment="1">
      <alignment horizontal="right" vertical="center"/>
    </xf>
    <xf numFmtId="176" fontId="65" fillId="30" borderId="51" xfId="0" applyNumberFormat="1" applyFont="1" applyFill="1" applyBorder="1" applyAlignment="1">
      <alignment horizontal="right" vertical="center"/>
    </xf>
    <xf numFmtId="176" fontId="65" fillId="31" borderId="51" xfId="0" applyNumberFormat="1" applyFont="1" applyFill="1" applyBorder="1" applyAlignment="1">
      <alignment horizontal="right" vertical="center"/>
    </xf>
    <xf numFmtId="176" fontId="65" fillId="32" borderId="51" xfId="0" applyNumberFormat="1" applyFont="1" applyFill="1" applyBorder="1" applyAlignment="1">
      <alignment horizontal="right" vertical="center"/>
    </xf>
    <xf numFmtId="176" fontId="65" fillId="10" borderId="51" xfId="0" applyNumberFormat="1" applyFont="1" applyFill="1" applyBorder="1" applyAlignment="1">
      <alignment horizontal="right" vertical="center"/>
    </xf>
    <xf numFmtId="176" fontId="65" fillId="28" borderId="51" xfId="0" applyNumberFormat="1" applyFont="1" applyFill="1" applyBorder="1" applyAlignment="1">
      <alignment horizontal="right" vertical="center"/>
    </xf>
    <xf numFmtId="176" fontId="67" fillId="33" borderId="51" xfId="0" applyNumberFormat="1" applyFont="1" applyFill="1" applyBorder="1" applyAlignment="1">
      <alignment horizontal="right" vertical="center"/>
    </xf>
    <xf numFmtId="176" fontId="65" fillId="34" borderId="51" xfId="0" applyNumberFormat="1" applyFont="1" applyFill="1" applyBorder="1" applyAlignment="1">
      <alignment horizontal="right" vertical="center"/>
    </xf>
    <xf numFmtId="176" fontId="65" fillId="35" borderId="51" xfId="0" applyNumberFormat="1" applyFont="1" applyFill="1" applyBorder="1" applyAlignment="1">
      <alignment horizontal="right" vertical="center"/>
    </xf>
    <xf numFmtId="176" fontId="65" fillId="36" borderId="51" xfId="0" applyNumberFormat="1" applyFont="1" applyFill="1" applyBorder="1" applyAlignment="1">
      <alignment horizontal="right" vertical="center"/>
    </xf>
    <xf numFmtId="176" fontId="68" fillId="37" borderId="51" xfId="0" applyNumberFormat="1" applyFont="1" applyFill="1" applyBorder="1" applyAlignment="1">
      <alignment horizontal="right" vertical="center"/>
    </xf>
    <xf numFmtId="176" fontId="66" fillId="38" borderId="51" xfId="0" applyNumberFormat="1" applyFont="1" applyFill="1" applyBorder="1" applyAlignment="1">
      <alignment horizontal="right" vertical="center"/>
    </xf>
    <xf numFmtId="176" fontId="65" fillId="39" borderId="51" xfId="0" applyNumberFormat="1" applyFont="1" applyFill="1" applyBorder="1" applyAlignment="1">
      <alignment horizontal="right" vertical="center"/>
    </xf>
    <xf numFmtId="176" fontId="65" fillId="5" borderId="51" xfId="0" applyNumberFormat="1" applyFont="1" applyFill="1" applyBorder="1" applyAlignment="1">
      <alignment horizontal="right" vertical="center"/>
    </xf>
    <xf numFmtId="176" fontId="65" fillId="9" borderId="51" xfId="0" applyNumberFormat="1" applyFont="1" applyFill="1" applyBorder="1" applyAlignment="1">
      <alignment horizontal="right" vertical="center"/>
    </xf>
    <xf numFmtId="176" fontId="65" fillId="40" borderId="51" xfId="0" applyNumberFormat="1" applyFont="1" applyFill="1" applyBorder="1" applyAlignment="1">
      <alignment horizontal="right" vertical="center"/>
    </xf>
    <xf numFmtId="176" fontId="65" fillId="6" borderId="51" xfId="0" applyNumberFormat="1" applyFont="1" applyFill="1" applyBorder="1" applyAlignment="1">
      <alignment horizontal="right" vertical="center"/>
    </xf>
    <xf numFmtId="176" fontId="65" fillId="41" borderId="51" xfId="0" applyNumberFormat="1" applyFont="1" applyFill="1" applyBorder="1" applyAlignment="1">
      <alignment horizontal="right" vertical="center"/>
    </xf>
    <xf numFmtId="176" fontId="65" fillId="42" borderId="51" xfId="0" applyNumberFormat="1" applyFont="1" applyFill="1" applyBorder="1" applyAlignment="1">
      <alignment horizontal="right" vertical="center"/>
    </xf>
    <xf numFmtId="176" fontId="65" fillId="43" borderId="51" xfId="0" applyNumberFormat="1" applyFont="1" applyFill="1" applyBorder="1" applyAlignment="1">
      <alignment horizontal="right" vertical="center"/>
    </xf>
    <xf numFmtId="176" fontId="65" fillId="44" borderId="51" xfId="0" applyNumberFormat="1" applyFont="1" applyFill="1" applyBorder="1" applyAlignment="1">
      <alignment horizontal="right" vertical="center"/>
    </xf>
    <xf numFmtId="176" fontId="67" fillId="45" borderId="51" xfId="0" applyNumberFormat="1" applyFont="1" applyFill="1" applyBorder="1" applyAlignment="1">
      <alignment horizontal="right" vertical="center"/>
    </xf>
    <xf numFmtId="176" fontId="65" fillId="46" borderId="51" xfId="0" applyNumberFormat="1" applyFont="1" applyFill="1" applyBorder="1" applyAlignment="1">
      <alignment horizontal="right" vertical="center"/>
    </xf>
    <xf numFmtId="176" fontId="65" fillId="47" borderId="51" xfId="0" applyNumberFormat="1" applyFont="1" applyFill="1" applyBorder="1" applyAlignment="1">
      <alignment horizontal="right" vertical="center"/>
    </xf>
    <xf numFmtId="176" fontId="65" fillId="48" borderId="51" xfId="0" applyNumberFormat="1" applyFont="1" applyFill="1" applyBorder="1" applyAlignment="1">
      <alignment horizontal="right" vertical="center"/>
    </xf>
    <xf numFmtId="176" fontId="65" fillId="7" borderId="51" xfId="0" applyNumberFormat="1" applyFont="1" applyFill="1" applyBorder="1" applyAlignment="1">
      <alignment horizontal="right" vertical="center"/>
    </xf>
    <xf numFmtId="176" fontId="65" fillId="49" borderId="51" xfId="0" applyNumberFormat="1" applyFont="1" applyFill="1" applyBorder="1" applyAlignment="1">
      <alignment horizontal="right" vertical="center"/>
    </xf>
    <xf numFmtId="176" fontId="67" fillId="50" borderId="51" xfId="0" applyNumberFormat="1" applyFont="1" applyFill="1" applyBorder="1" applyAlignment="1">
      <alignment horizontal="right" vertical="center"/>
    </xf>
    <xf numFmtId="176" fontId="65" fillId="8" borderId="51" xfId="0" applyNumberFormat="1" applyFont="1" applyFill="1" applyBorder="1" applyAlignment="1">
      <alignment horizontal="right" vertical="center"/>
    </xf>
    <xf numFmtId="176" fontId="65" fillId="51" borderId="51" xfId="0" applyNumberFormat="1" applyFont="1" applyFill="1" applyBorder="1" applyAlignment="1">
      <alignment horizontal="right" vertical="center"/>
    </xf>
    <xf numFmtId="176" fontId="65" fillId="52" borderId="51" xfId="0" applyNumberFormat="1" applyFont="1" applyFill="1" applyBorder="1" applyAlignment="1">
      <alignment horizontal="right" vertical="center"/>
    </xf>
    <xf numFmtId="176" fontId="67" fillId="53" borderId="51" xfId="0" applyNumberFormat="1" applyFont="1" applyFill="1" applyBorder="1" applyAlignment="1">
      <alignment horizontal="right" vertical="center"/>
    </xf>
    <xf numFmtId="176" fontId="65" fillId="38" borderId="51" xfId="0" applyNumberFormat="1" applyFont="1" applyFill="1" applyBorder="1" applyAlignment="1">
      <alignment horizontal="right" vertical="center"/>
    </xf>
    <xf numFmtId="176" fontId="68" fillId="54" borderId="51" xfId="0" applyNumberFormat="1" applyFont="1" applyFill="1" applyBorder="1" applyAlignment="1">
      <alignment horizontal="right" vertical="center"/>
    </xf>
    <xf numFmtId="176" fontId="66" fillId="31" borderId="51" xfId="0" applyNumberFormat="1" applyFont="1" applyFill="1" applyBorder="1" applyAlignment="1">
      <alignment horizontal="right" vertical="center"/>
    </xf>
    <xf numFmtId="176" fontId="67" fillId="55" borderId="51" xfId="0" applyNumberFormat="1" applyFont="1" applyFill="1" applyBorder="1" applyAlignment="1">
      <alignment horizontal="right" vertical="center"/>
    </xf>
    <xf numFmtId="176" fontId="67" fillId="56" borderId="51" xfId="0" applyNumberFormat="1" applyFont="1" applyFill="1" applyBorder="1" applyAlignment="1">
      <alignment horizontal="right" vertical="center"/>
    </xf>
    <xf numFmtId="176" fontId="65" fillId="57" borderId="51" xfId="0" applyNumberFormat="1" applyFont="1" applyFill="1" applyBorder="1" applyAlignment="1">
      <alignment horizontal="right" vertical="center"/>
    </xf>
    <xf numFmtId="176" fontId="67" fillId="58" borderId="51" xfId="0" applyNumberFormat="1" applyFont="1" applyFill="1" applyBorder="1" applyAlignment="1">
      <alignment horizontal="right" vertical="center"/>
    </xf>
    <xf numFmtId="176" fontId="67" fillId="59" borderId="51" xfId="0" applyNumberFormat="1" applyFont="1" applyFill="1" applyBorder="1" applyAlignment="1">
      <alignment horizontal="right" vertical="center"/>
    </xf>
    <xf numFmtId="176" fontId="67" fillId="60" borderId="51" xfId="0" applyNumberFormat="1" applyFont="1" applyFill="1" applyBorder="1" applyAlignment="1">
      <alignment horizontal="right" vertical="center"/>
    </xf>
    <xf numFmtId="176" fontId="67" fillId="61" borderId="51" xfId="0" applyNumberFormat="1" applyFont="1" applyFill="1" applyBorder="1" applyAlignment="1">
      <alignment horizontal="right" vertical="center"/>
    </xf>
    <xf numFmtId="176" fontId="68" fillId="62" borderId="51" xfId="0" applyNumberFormat="1" applyFont="1" applyFill="1" applyBorder="1" applyAlignment="1">
      <alignment horizontal="right" vertical="center"/>
    </xf>
    <xf numFmtId="176" fontId="67" fillId="63" borderId="51" xfId="0" applyNumberFormat="1" applyFont="1" applyFill="1" applyBorder="1" applyAlignment="1">
      <alignment horizontal="right" vertical="center"/>
    </xf>
    <xf numFmtId="176" fontId="68" fillId="64" borderId="51" xfId="0" applyNumberFormat="1" applyFont="1" applyFill="1" applyBorder="1" applyAlignment="1">
      <alignment horizontal="right" vertical="center"/>
    </xf>
    <xf numFmtId="176" fontId="67" fillId="65" borderId="51" xfId="0" applyNumberFormat="1" applyFont="1" applyFill="1" applyBorder="1" applyAlignment="1">
      <alignment horizontal="right" vertical="center"/>
    </xf>
    <xf numFmtId="176" fontId="67" fillId="66" borderId="51" xfId="0" applyNumberFormat="1" applyFont="1" applyFill="1" applyBorder="1" applyAlignment="1">
      <alignment horizontal="right" vertical="center"/>
    </xf>
    <xf numFmtId="176" fontId="67" fillId="54" borderId="51" xfId="0" applyNumberFormat="1" applyFont="1" applyFill="1" applyBorder="1" applyAlignment="1">
      <alignment horizontal="right" vertical="center"/>
    </xf>
    <xf numFmtId="176" fontId="67" fillId="67" borderId="51" xfId="0" applyNumberFormat="1" applyFont="1" applyFill="1" applyBorder="1" applyAlignment="1">
      <alignment horizontal="right" vertical="center"/>
    </xf>
    <xf numFmtId="176" fontId="67" fillId="68" borderId="51" xfId="0" applyNumberFormat="1" applyFont="1" applyFill="1" applyBorder="1" applyAlignment="1">
      <alignment horizontal="right" vertical="center"/>
    </xf>
    <xf numFmtId="176" fontId="67" fillId="37" borderId="51" xfId="0" applyNumberFormat="1" applyFont="1" applyFill="1" applyBorder="1" applyAlignment="1">
      <alignment horizontal="right" vertical="center"/>
    </xf>
    <xf numFmtId="176" fontId="65" fillId="69" borderId="51" xfId="0" applyNumberFormat="1" applyFont="1" applyFill="1" applyBorder="1" applyAlignment="1">
      <alignment horizontal="right" vertical="center"/>
    </xf>
    <xf numFmtId="176" fontId="66" fillId="70" borderId="51" xfId="0" applyNumberFormat="1" applyFont="1" applyFill="1" applyBorder="1" applyAlignment="1">
      <alignment horizontal="right" vertical="center"/>
    </xf>
    <xf numFmtId="176" fontId="68" fillId="71" borderId="51" xfId="0" applyNumberFormat="1" applyFont="1" applyFill="1" applyBorder="1" applyAlignment="1">
      <alignment horizontal="right" vertical="center"/>
    </xf>
    <xf numFmtId="176" fontId="67" fillId="72" borderId="51" xfId="0" applyNumberFormat="1" applyFont="1" applyFill="1" applyBorder="1" applyAlignment="1">
      <alignment horizontal="right" vertical="center"/>
    </xf>
    <xf numFmtId="176" fontId="65" fillId="73" borderId="51" xfId="0" applyNumberFormat="1" applyFont="1" applyFill="1" applyBorder="1" applyAlignment="1">
      <alignment horizontal="right" vertical="center"/>
    </xf>
    <xf numFmtId="176" fontId="65" fillId="74" borderId="51" xfId="0" applyNumberFormat="1" applyFont="1" applyFill="1" applyBorder="1" applyAlignment="1">
      <alignment horizontal="right" vertical="center"/>
    </xf>
    <xf numFmtId="176" fontId="66" fillId="46" borderId="51" xfId="0" applyNumberFormat="1" applyFont="1" applyFill="1" applyBorder="1" applyAlignment="1">
      <alignment horizontal="right" vertical="center"/>
    </xf>
    <xf numFmtId="176" fontId="68" fillId="61" borderId="51" xfId="0" applyNumberFormat="1" applyFont="1" applyFill="1" applyBorder="1" applyAlignment="1">
      <alignment horizontal="right" vertical="center"/>
    </xf>
    <xf numFmtId="176" fontId="65" fillId="11" borderId="51" xfId="0" applyNumberFormat="1" applyFont="1" applyFill="1" applyBorder="1" applyAlignment="1">
      <alignment horizontal="right" vertical="center"/>
    </xf>
    <xf numFmtId="176" fontId="65" fillId="75" borderId="51" xfId="0" applyNumberFormat="1" applyFont="1" applyFill="1" applyBorder="1" applyAlignment="1">
      <alignment horizontal="right" vertical="center"/>
    </xf>
    <xf numFmtId="176" fontId="65" fillId="76" borderId="51" xfId="0" applyNumberFormat="1" applyFont="1" applyFill="1" applyBorder="1" applyAlignment="1">
      <alignment horizontal="right" vertical="center"/>
    </xf>
    <xf numFmtId="176" fontId="67" fillId="77" borderId="51" xfId="0" applyNumberFormat="1" applyFont="1" applyFill="1" applyBorder="1" applyAlignment="1">
      <alignment horizontal="right" vertical="center"/>
    </xf>
    <xf numFmtId="176" fontId="65" fillId="4" borderId="51" xfId="0" applyNumberFormat="1" applyFont="1" applyFill="1" applyBorder="1" applyAlignment="1">
      <alignment horizontal="right" vertical="center"/>
    </xf>
    <xf numFmtId="176" fontId="67" fillId="62" borderId="51" xfId="0" applyNumberFormat="1" applyFont="1" applyFill="1" applyBorder="1" applyAlignment="1">
      <alignment horizontal="right" vertical="center"/>
    </xf>
    <xf numFmtId="176" fontId="65" fillId="78" borderId="51" xfId="0" applyNumberFormat="1" applyFont="1" applyFill="1" applyBorder="1" applyAlignment="1">
      <alignment horizontal="right" vertical="center"/>
    </xf>
    <xf numFmtId="176" fontId="65" fillId="79" borderId="51" xfId="0" applyNumberFormat="1" applyFont="1" applyFill="1" applyBorder="1" applyAlignment="1">
      <alignment horizontal="right" vertical="center"/>
    </xf>
    <xf numFmtId="176" fontId="67" fillId="80" borderId="51" xfId="0" applyNumberFormat="1" applyFont="1" applyFill="1" applyBorder="1" applyAlignment="1">
      <alignment horizontal="right" vertical="center"/>
    </xf>
    <xf numFmtId="176" fontId="65" fillId="81" borderId="51" xfId="0" applyNumberFormat="1" applyFont="1" applyFill="1" applyBorder="1" applyAlignment="1">
      <alignment horizontal="right" vertical="center"/>
    </xf>
    <xf numFmtId="176" fontId="65" fillId="82" borderId="51" xfId="0" applyNumberFormat="1" applyFont="1" applyFill="1" applyBorder="1" applyAlignment="1">
      <alignment horizontal="right" vertical="center"/>
    </xf>
    <xf numFmtId="176" fontId="66" fillId="34" borderId="51" xfId="0" applyNumberFormat="1" applyFont="1" applyFill="1" applyBorder="1" applyAlignment="1">
      <alignment horizontal="right" vertical="center"/>
    </xf>
    <xf numFmtId="176" fontId="66" fillId="81" borderId="51" xfId="0" applyNumberFormat="1" applyFont="1" applyFill="1" applyBorder="1" applyAlignment="1">
      <alignment horizontal="right" vertical="center"/>
    </xf>
    <xf numFmtId="176" fontId="65" fillId="83" borderId="51" xfId="0" applyNumberFormat="1" applyFont="1" applyFill="1" applyBorder="1" applyAlignment="1">
      <alignment horizontal="right" vertical="center"/>
    </xf>
    <xf numFmtId="176" fontId="65" fillId="84" borderId="51" xfId="0" applyNumberFormat="1" applyFont="1" applyFill="1" applyBorder="1" applyAlignment="1">
      <alignment horizontal="right" vertical="center"/>
    </xf>
    <xf numFmtId="176" fontId="66" fillId="85" borderId="51" xfId="0" applyNumberFormat="1" applyFont="1" applyFill="1" applyBorder="1" applyAlignment="1">
      <alignment horizontal="right" vertical="center"/>
    </xf>
    <xf numFmtId="176" fontId="67" fillId="86" borderId="51" xfId="0" applyNumberFormat="1" applyFont="1" applyFill="1" applyBorder="1" applyAlignment="1">
      <alignment horizontal="right" vertical="center"/>
    </xf>
    <xf numFmtId="176" fontId="67" fillId="87" borderId="51" xfId="0" applyNumberFormat="1" applyFont="1" applyFill="1" applyBorder="1" applyAlignment="1">
      <alignment horizontal="right" vertical="center"/>
    </xf>
    <xf numFmtId="176" fontId="67" fillId="88" borderId="51" xfId="0" applyNumberFormat="1" applyFont="1" applyFill="1" applyBorder="1" applyAlignment="1">
      <alignment horizontal="right" vertical="center"/>
    </xf>
    <xf numFmtId="0" fontId="46" fillId="2" borderId="40" xfId="0" applyFont="1" applyFill="1" applyBorder="1" applyAlignment="1">
      <alignment horizontal="center" vertical="center" wrapText="1"/>
    </xf>
    <xf numFmtId="0" fontId="62" fillId="2" borderId="40" xfId="0" applyFont="1" applyFill="1" applyBorder="1" applyAlignment="1">
      <alignment horizontal="center" vertical="center" wrapText="1"/>
    </xf>
    <xf numFmtId="0" fontId="12" fillId="2" borderId="40" xfId="0" applyFont="1" applyFill="1" applyBorder="1" applyAlignment="1">
      <alignment horizontal="center" vertical="center" wrapText="1"/>
    </xf>
    <xf numFmtId="0" fontId="46" fillId="2" borderId="40" xfId="0" applyFont="1" applyFill="1" applyBorder="1" applyAlignment="1">
      <alignment horizontal="right" vertical="center" wrapText="1"/>
    </xf>
    <xf numFmtId="176" fontId="65" fillId="85" borderId="51" xfId="0" applyNumberFormat="1" applyFont="1" applyFill="1" applyBorder="1" applyAlignment="1">
      <alignment horizontal="right" vertical="center"/>
    </xf>
    <xf numFmtId="176" fontId="27" fillId="5" borderId="51" xfId="0" applyNumberFormat="1" applyFont="1" applyFill="1" applyBorder="1" applyAlignment="1">
      <alignment horizontal="right" vertical="center"/>
    </xf>
    <xf numFmtId="176" fontId="43" fillId="88" borderId="5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20" fillId="2" borderId="13" xfId="0" applyFont="1" applyFill="1" applyBorder="1" applyAlignment="1">
      <alignment vertical="center" shrinkToFit="1"/>
    </xf>
    <xf numFmtId="0" fontId="21" fillId="2" borderId="13" xfId="0" applyFont="1" applyFill="1" applyBorder="1" applyAlignment="1">
      <alignment vertical="center" shrinkToFit="1"/>
    </xf>
    <xf numFmtId="0" fontId="22" fillId="2" borderId="13" xfId="0" applyFont="1" applyFill="1" applyBorder="1" applyAlignment="1">
      <alignment vertical="center" shrinkToFit="1"/>
    </xf>
    <xf numFmtId="0" fontId="23" fillId="0" borderId="0" xfId="0" applyFont="1" applyAlignment="1">
      <alignment horizontal="right" vertical="center"/>
    </xf>
    <xf numFmtId="0" fontId="7" fillId="2" borderId="11" xfId="0" applyFont="1" applyFill="1" applyBorder="1" applyAlignment="1">
      <alignment horizontal="right" vertical="center"/>
    </xf>
    <xf numFmtId="0" fontId="70" fillId="2" borderId="11" xfId="0" applyFont="1" applyFill="1" applyBorder="1" applyAlignment="1">
      <alignment horizontal="right" vertical="center"/>
    </xf>
    <xf numFmtId="0" fontId="71" fillId="2" borderId="11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right" vertical="center" wrapText="1"/>
    </xf>
    <xf numFmtId="0" fontId="70" fillId="2" borderId="12" xfId="0" applyFont="1" applyFill="1" applyBorder="1" applyAlignment="1">
      <alignment horizontal="right" vertical="center" wrapText="1"/>
    </xf>
    <xf numFmtId="0" fontId="71" fillId="2" borderId="12" xfId="0" applyFont="1" applyFill="1" applyBorder="1" applyAlignment="1">
      <alignment horizontal="right" vertical="center" wrapText="1"/>
    </xf>
    <xf numFmtId="178" fontId="72" fillId="2" borderId="13" xfId="0" applyNumberFormat="1" applyFont="1" applyFill="1" applyBorder="1" applyAlignment="1">
      <alignment horizontal="right" vertical="center"/>
    </xf>
    <xf numFmtId="179" fontId="72" fillId="2" borderId="11" xfId="0" applyNumberFormat="1" applyFont="1" applyFill="1" applyBorder="1" applyAlignment="1">
      <alignment horizontal="right" vertical="center"/>
    </xf>
    <xf numFmtId="0" fontId="12" fillId="2" borderId="3" xfId="0" applyFont="1" applyFill="1" applyBorder="1">
      <alignment vertical="center"/>
    </xf>
    <xf numFmtId="0" fontId="73" fillId="2" borderId="5" xfId="0" applyFont="1" applyFill="1" applyBorder="1" applyAlignment="1">
      <alignment horizontal="center" vertical="center"/>
    </xf>
    <xf numFmtId="0" fontId="74" fillId="2" borderId="11" xfId="0" applyFont="1" applyFill="1" applyBorder="1" applyAlignment="1">
      <alignment horizontal="right" vertical="center" wrapText="1"/>
    </xf>
    <xf numFmtId="0" fontId="74" fillId="2" borderId="12" xfId="0" applyFont="1" applyFill="1" applyBorder="1" applyAlignment="1">
      <alignment horizontal="right" vertical="center" wrapText="1"/>
    </xf>
    <xf numFmtId="0" fontId="75" fillId="2" borderId="13" xfId="0" applyFont="1" applyFill="1" applyBorder="1" applyAlignment="1">
      <alignment vertical="center" shrinkToFit="1"/>
    </xf>
    <xf numFmtId="176" fontId="76" fillId="69" borderId="8" xfId="0" applyNumberFormat="1" applyFont="1" applyFill="1" applyBorder="1" applyAlignment="1">
      <alignment horizontal="right" vertical="center"/>
    </xf>
    <xf numFmtId="176" fontId="76" fillId="10" borderId="8" xfId="0" applyNumberFormat="1" applyFont="1" applyFill="1" applyBorder="1" applyAlignment="1">
      <alignment horizontal="right" vertical="center"/>
    </xf>
    <xf numFmtId="176" fontId="76" fillId="82" borderId="8" xfId="0" applyNumberFormat="1" applyFont="1" applyFill="1" applyBorder="1" applyAlignment="1">
      <alignment horizontal="right" vertical="center"/>
    </xf>
    <xf numFmtId="176" fontId="76" fillId="89" borderId="8" xfId="0" applyNumberFormat="1" applyFont="1" applyFill="1" applyBorder="1" applyAlignment="1">
      <alignment horizontal="right" vertical="center"/>
    </xf>
    <xf numFmtId="176" fontId="76" fillId="11" borderId="8" xfId="0" applyNumberFormat="1" applyFont="1" applyFill="1" applyBorder="1" applyAlignment="1">
      <alignment horizontal="right" vertical="center"/>
    </xf>
    <xf numFmtId="176" fontId="76" fillId="40" borderId="8" xfId="0" applyNumberFormat="1" applyFont="1" applyFill="1" applyBorder="1" applyAlignment="1">
      <alignment horizontal="right" vertical="center"/>
    </xf>
    <xf numFmtId="176" fontId="76" fillId="75" borderId="8" xfId="0" applyNumberFormat="1" applyFont="1" applyFill="1" applyBorder="1" applyAlignment="1">
      <alignment horizontal="right" vertical="center"/>
    </xf>
    <xf numFmtId="176" fontId="76" fillId="90" borderId="8" xfId="0" applyNumberFormat="1" applyFont="1" applyFill="1" applyBorder="1" applyAlignment="1">
      <alignment horizontal="right" vertical="center"/>
    </xf>
    <xf numFmtId="176" fontId="76" fillId="6" borderId="8" xfId="0" applyNumberFormat="1" applyFont="1" applyFill="1" applyBorder="1" applyAlignment="1">
      <alignment horizontal="right" vertical="center"/>
    </xf>
    <xf numFmtId="176" fontId="76" fillId="27" borderId="8" xfId="0" applyNumberFormat="1" applyFont="1" applyFill="1" applyBorder="1" applyAlignment="1">
      <alignment horizontal="right" vertical="center"/>
    </xf>
    <xf numFmtId="176" fontId="76" fillId="73" borderId="8" xfId="0" applyNumberFormat="1" applyFont="1" applyFill="1" applyBorder="1" applyAlignment="1">
      <alignment horizontal="right" vertical="center"/>
    </xf>
    <xf numFmtId="176" fontId="76" fillId="84" borderId="9" xfId="0" applyNumberFormat="1" applyFont="1" applyFill="1" applyBorder="1" applyAlignment="1">
      <alignment horizontal="right" vertical="center"/>
    </xf>
    <xf numFmtId="176" fontId="76" fillId="51" borderId="9" xfId="0" applyNumberFormat="1" applyFont="1" applyFill="1" applyBorder="1" applyAlignment="1">
      <alignment horizontal="right" vertical="center"/>
    </xf>
    <xf numFmtId="176" fontId="76" fillId="6" borderId="9" xfId="0" applyNumberFormat="1" applyFont="1" applyFill="1" applyBorder="1" applyAlignment="1">
      <alignment horizontal="right" vertical="center"/>
    </xf>
    <xf numFmtId="176" fontId="76" fillId="31" borderId="9" xfId="0" applyNumberFormat="1" applyFont="1" applyFill="1" applyBorder="1" applyAlignment="1">
      <alignment horizontal="right" vertical="center"/>
    </xf>
    <xf numFmtId="176" fontId="76" fillId="28" borderId="9" xfId="0" applyNumberFormat="1" applyFont="1" applyFill="1" applyBorder="1" applyAlignment="1">
      <alignment horizontal="right" vertical="center"/>
    </xf>
    <xf numFmtId="176" fontId="76" fillId="82" borderId="9" xfId="0" applyNumberFormat="1" applyFont="1" applyFill="1" applyBorder="1" applyAlignment="1">
      <alignment horizontal="right" vertical="center"/>
    </xf>
    <xf numFmtId="176" fontId="76" fillId="27" borderId="9" xfId="0" applyNumberFormat="1" applyFont="1" applyFill="1" applyBorder="1" applyAlignment="1">
      <alignment horizontal="right" vertical="center"/>
    </xf>
    <xf numFmtId="176" fontId="76" fillId="41" borderId="9" xfId="0" applyNumberFormat="1" applyFont="1" applyFill="1" applyBorder="1" applyAlignment="1">
      <alignment horizontal="right" vertical="center"/>
    </xf>
    <xf numFmtId="176" fontId="76" fillId="39" borderId="9" xfId="0" applyNumberFormat="1" applyFont="1" applyFill="1" applyBorder="1" applyAlignment="1">
      <alignment horizontal="right" vertical="center"/>
    </xf>
    <xf numFmtId="176" fontId="76" fillId="83" borderId="9" xfId="0" applyNumberFormat="1" applyFont="1" applyFill="1" applyBorder="1" applyAlignment="1">
      <alignment horizontal="right" vertical="center"/>
    </xf>
    <xf numFmtId="176" fontId="76" fillId="10" borderId="9" xfId="0" applyNumberFormat="1" applyFont="1" applyFill="1" applyBorder="1" applyAlignment="1">
      <alignment horizontal="right" vertical="center"/>
    </xf>
    <xf numFmtId="176" fontId="76" fillId="7" borderId="9" xfId="0" applyNumberFormat="1" applyFont="1" applyFill="1" applyBorder="1" applyAlignment="1">
      <alignment horizontal="right" vertical="center"/>
    </xf>
    <xf numFmtId="176" fontId="76" fillId="90" borderId="9" xfId="0" applyNumberFormat="1" applyFont="1" applyFill="1" applyBorder="1" applyAlignment="1">
      <alignment horizontal="right" vertical="center"/>
    </xf>
    <xf numFmtId="176" fontId="76" fillId="75" borderId="9" xfId="0" applyNumberFormat="1" applyFont="1" applyFill="1" applyBorder="1" applyAlignment="1">
      <alignment horizontal="right" vertical="center"/>
    </xf>
    <xf numFmtId="176" fontId="76" fillId="69" borderId="9" xfId="0" applyNumberFormat="1" applyFont="1" applyFill="1" applyBorder="1" applyAlignment="1">
      <alignment horizontal="right" vertical="center"/>
    </xf>
    <xf numFmtId="176" fontId="76" fillId="46" borderId="7" xfId="0" applyNumberFormat="1" applyFont="1" applyFill="1" applyBorder="1" applyAlignment="1">
      <alignment horizontal="right" vertical="center"/>
    </xf>
    <xf numFmtId="176" fontId="76" fillId="46" borderId="9" xfId="0" applyNumberFormat="1" applyFont="1" applyFill="1" applyBorder="1" applyAlignment="1">
      <alignment horizontal="right" vertical="center"/>
    </xf>
    <xf numFmtId="176" fontId="78" fillId="57" borderId="9" xfId="0" applyNumberFormat="1" applyFont="1" applyFill="1" applyBorder="1" applyAlignment="1">
      <alignment horizontal="right" vertical="center"/>
    </xf>
    <xf numFmtId="176" fontId="76" fillId="85" borderId="9" xfId="0" applyNumberFormat="1" applyFont="1" applyFill="1" applyBorder="1" applyAlignment="1">
      <alignment horizontal="right" vertical="center"/>
    </xf>
    <xf numFmtId="176" fontId="76" fillId="42" borderId="9" xfId="0" applyNumberFormat="1" applyFont="1" applyFill="1" applyBorder="1" applyAlignment="1">
      <alignment horizontal="right" vertical="center"/>
    </xf>
    <xf numFmtId="176" fontId="76" fillId="8" borderId="9" xfId="0" applyNumberFormat="1" applyFont="1" applyFill="1" applyBorder="1" applyAlignment="1">
      <alignment horizontal="right" vertical="center"/>
    </xf>
    <xf numFmtId="176" fontId="76" fillId="38" borderId="9" xfId="0" applyNumberFormat="1" applyFont="1" applyFill="1" applyBorder="1" applyAlignment="1">
      <alignment horizontal="right" vertical="center"/>
    </xf>
    <xf numFmtId="176" fontId="76" fillId="47" borderId="9" xfId="0" applyNumberFormat="1" applyFont="1" applyFill="1" applyBorder="1" applyAlignment="1">
      <alignment horizontal="right" vertical="center"/>
    </xf>
    <xf numFmtId="176" fontId="76" fillId="12" borderId="9" xfId="0" applyNumberFormat="1" applyFont="1" applyFill="1" applyBorder="1" applyAlignment="1">
      <alignment horizontal="right" vertical="center"/>
    </xf>
    <xf numFmtId="176" fontId="76" fillId="38" borderId="8" xfId="0" applyNumberFormat="1" applyFont="1" applyFill="1" applyBorder="1" applyAlignment="1">
      <alignment horizontal="right" vertical="center"/>
    </xf>
    <xf numFmtId="176" fontId="76" fillId="85" borderId="8" xfId="0" applyNumberFormat="1" applyFont="1" applyFill="1" applyBorder="1" applyAlignment="1">
      <alignment horizontal="right" vertical="center"/>
    </xf>
    <xf numFmtId="176" fontId="78" fillId="86" borderId="9" xfId="0" applyNumberFormat="1" applyFont="1" applyFill="1" applyBorder="1" applyAlignment="1">
      <alignment horizontal="right" vertical="center"/>
    </xf>
    <xf numFmtId="176" fontId="78" fillId="45" borderId="9" xfId="0" applyNumberFormat="1" applyFont="1" applyFill="1" applyBorder="1" applyAlignment="1">
      <alignment horizontal="right" vertical="center"/>
    </xf>
    <xf numFmtId="176" fontId="78" fillId="33" borderId="9" xfId="0" applyNumberFormat="1" applyFont="1" applyFill="1" applyBorder="1" applyAlignment="1">
      <alignment horizontal="right" vertical="center"/>
    </xf>
    <xf numFmtId="176" fontId="78" fillId="62" borderId="9" xfId="0" applyNumberFormat="1" applyFont="1" applyFill="1" applyBorder="1" applyAlignment="1">
      <alignment horizontal="right" vertical="center"/>
    </xf>
    <xf numFmtId="176" fontId="78" fillId="54" borderId="9" xfId="0" applyNumberFormat="1" applyFont="1" applyFill="1" applyBorder="1" applyAlignment="1">
      <alignment horizontal="right" vertical="center"/>
    </xf>
    <xf numFmtId="176" fontId="78" fillId="50" borderId="9" xfId="0" applyNumberFormat="1" applyFont="1" applyFill="1" applyBorder="1" applyAlignment="1">
      <alignment horizontal="right" vertical="center"/>
    </xf>
    <xf numFmtId="176" fontId="78" fillId="9" borderId="9" xfId="0" applyNumberFormat="1" applyFont="1" applyFill="1" applyBorder="1" applyAlignment="1">
      <alignment horizontal="right" vertical="center"/>
    </xf>
    <xf numFmtId="176" fontId="78" fillId="32" borderId="9" xfId="0" applyNumberFormat="1" applyFont="1" applyFill="1" applyBorder="1" applyAlignment="1">
      <alignment horizontal="right" vertical="center"/>
    </xf>
    <xf numFmtId="176" fontId="77" fillId="32" borderId="9" xfId="0" applyNumberFormat="1" applyFont="1" applyFill="1" applyBorder="1" applyAlignment="1">
      <alignment horizontal="right" vertical="center"/>
    </xf>
    <xf numFmtId="176" fontId="78" fillId="71" borderId="9" xfId="0" applyNumberFormat="1" applyFont="1" applyFill="1" applyBorder="1" applyAlignment="1">
      <alignment horizontal="right" vertical="center"/>
    </xf>
    <xf numFmtId="176" fontId="78" fillId="67" borderId="9" xfId="0" applyNumberFormat="1" applyFont="1" applyFill="1" applyBorder="1" applyAlignment="1">
      <alignment horizontal="right" vertical="center"/>
    </xf>
    <xf numFmtId="176" fontId="78" fillId="77" borderId="9" xfId="0" applyNumberFormat="1" applyFont="1" applyFill="1" applyBorder="1" applyAlignment="1">
      <alignment horizontal="right" vertical="center"/>
    </xf>
    <xf numFmtId="176" fontId="78" fillId="37" borderId="9" xfId="0" applyNumberFormat="1" applyFont="1" applyFill="1" applyBorder="1" applyAlignment="1">
      <alignment horizontal="right" vertical="center"/>
    </xf>
    <xf numFmtId="176" fontId="78" fillId="55" borderId="9" xfId="0" applyNumberFormat="1" applyFont="1" applyFill="1" applyBorder="1" applyAlignment="1">
      <alignment horizontal="right" vertical="center"/>
    </xf>
    <xf numFmtId="176" fontId="78" fillId="56" borderId="9" xfId="0" applyNumberFormat="1" applyFont="1" applyFill="1" applyBorder="1" applyAlignment="1">
      <alignment horizontal="right" vertical="center"/>
    </xf>
    <xf numFmtId="176" fontId="78" fillId="58" borderId="9" xfId="0" applyNumberFormat="1" applyFont="1" applyFill="1" applyBorder="1" applyAlignment="1">
      <alignment horizontal="right" vertical="center"/>
    </xf>
    <xf numFmtId="176" fontId="78" fillId="72" borderId="9" xfId="0" applyNumberFormat="1" applyFont="1" applyFill="1" applyBorder="1" applyAlignment="1">
      <alignment horizontal="right" vertical="center"/>
    </xf>
    <xf numFmtId="176" fontId="78" fillId="53" borderId="9" xfId="0" applyNumberFormat="1" applyFont="1" applyFill="1" applyBorder="1" applyAlignment="1">
      <alignment horizontal="right" vertical="center"/>
    </xf>
    <xf numFmtId="176" fontId="78" fillId="65" borderId="9" xfId="0" applyNumberFormat="1" applyFont="1" applyFill="1" applyBorder="1" applyAlignment="1">
      <alignment horizontal="right" vertical="center"/>
    </xf>
    <xf numFmtId="176" fontId="78" fillId="60" borderId="9" xfId="0" applyNumberFormat="1" applyFont="1" applyFill="1" applyBorder="1" applyAlignment="1">
      <alignment horizontal="right" vertical="center"/>
    </xf>
    <xf numFmtId="176" fontId="78" fillId="80" borderId="9" xfId="0" applyNumberFormat="1" applyFont="1" applyFill="1" applyBorder="1" applyAlignment="1">
      <alignment horizontal="right" vertical="center"/>
    </xf>
    <xf numFmtId="176" fontId="78" fillId="88" borderId="9" xfId="0" applyNumberFormat="1" applyFont="1" applyFill="1" applyBorder="1" applyAlignment="1">
      <alignment horizontal="right" vertical="center"/>
    </xf>
    <xf numFmtId="176" fontId="78" fillId="63" borderId="9" xfId="0" applyNumberFormat="1" applyFont="1" applyFill="1" applyBorder="1" applyAlignment="1">
      <alignment horizontal="right" vertical="center"/>
    </xf>
    <xf numFmtId="176" fontId="78" fillId="63" borderId="7" xfId="0" applyNumberFormat="1" applyFont="1" applyFill="1" applyBorder="1" applyAlignment="1">
      <alignment horizontal="right" vertical="center"/>
    </xf>
    <xf numFmtId="176" fontId="78" fillId="66" borderId="9" xfId="0" applyNumberFormat="1" applyFont="1" applyFill="1" applyBorder="1" applyAlignment="1">
      <alignment horizontal="right" vertical="center"/>
    </xf>
    <xf numFmtId="176" fontId="78" fillId="59" borderId="9" xfId="0" applyNumberFormat="1" applyFont="1" applyFill="1" applyBorder="1" applyAlignment="1">
      <alignment horizontal="right" vertical="center"/>
    </xf>
    <xf numFmtId="176" fontId="79" fillId="56" borderId="9" xfId="0" applyNumberFormat="1" applyFont="1" applyFill="1" applyBorder="1" applyAlignment="1">
      <alignment horizontal="right" vertical="center"/>
    </xf>
    <xf numFmtId="176" fontId="78" fillId="71" borderId="8" xfId="0" applyNumberFormat="1" applyFont="1" applyFill="1" applyBorder="1" applyAlignment="1">
      <alignment horizontal="right" vertical="center"/>
    </xf>
    <xf numFmtId="176" fontId="78" fillId="30" borderId="9" xfId="0" applyNumberFormat="1" applyFont="1" applyFill="1" applyBorder="1" applyAlignment="1">
      <alignment horizontal="right" vertical="center"/>
    </xf>
    <xf numFmtId="176" fontId="77" fillId="12" borderId="9" xfId="0" applyNumberFormat="1" applyFont="1" applyFill="1" applyBorder="1" applyAlignment="1">
      <alignment horizontal="right" vertical="center"/>
    </xf>
    <xf numFmtId="176" fontId="76" fillId="34" borderId="9" xfId="0" applyNumberFormat="1" applyFont="1" applyFill="1" applyBorder="1" applyAlignment="1">
      <alignment horizontal="right" vertical="center"/>
    </xf>
    <xf numFmtId="176" fontId="77" fillId="41" borderId="9" xfId="0" applyNumberFormat="1" applyFont="1" applyFill="1" applyBorder="1" applyAlignment="1">
      <alignment horizontal="right" vertical="center"/>
    </xf>
    <xf numFmtId="176" fontId="76" fillId="89" borderId="9" xfId="0" applyNumberFormat="1" applyFont="1" applyFill="1" applyBorder="1" applyAlignment="1">
      <alignment horizontal="right" vertical="center"/>
    </xf>
    <xf numFmtId="176" fontId="77" fillId="11" borderId="9" xfId="0" applyNumberFormat="1" applyFont="1" applyFill="1" applyBorder="1" applyAlignment="1">
      <alignment horizontal="right" vertical="center"/>
    </xf>
    <xf numFmtId="176" fontId="78" fillId="32" borderId="7" xfId="0" applyNumberFormat="1" applyFont="1" applyFill="1" applyBorder="1" applyAlignment="1">
      <alignment horizontal="right" vertical="center" indent="4"/>
    </xf>
    <xf numFmtId="176" fontId="78" fillId="32" borderId="9" xfId="0" applyNumberFormat="1" applyFont="1" applyFill="1" applyBorder="1" applyAlignment="1">
      <alignment horizontal="right" vertical="center" indent="4"/>
    </xf>
    <xf numFmtId="176" fontId="78" fillId="86" borderId="9" xfId="0" applyNumberFormat="1" applyFont="1" applyFill="1" applyBorder="1" applyAlignment="1">
      <alignment horizontal="right" vertical="center" indent="4"/>
    </xf>
    <xf numFmtId="176" fontId="78" fillId="30" borderId="9" xfId="0" applyNumberFormat="1" applyFont="1" applyFill="1" applyBorder="1" applyAlignment="1">
      <alignment horizontal="right" vertical="center" indent="4"/>
    </xf>
    <xf numFmtId="176" fontId="78" fillId="57" borderId="9" xfId="0" applyNumberFormat="1" applyFont="1" applyFill="1" applyBorder="1" applyAlignment="1">
      <alignment horizontal="right" vertical="center" indent="4"/>
    </xf>
    <xf numFmtId="176" fontId="76" fillId="12" borderId="9" xfId="0" applyNumberFormat="1" applyFont="1" applyFill="1" applyBorder="1" applyAlignment="1">
      <alignment horizontal="right" vertical="center" indent="4"/>
    </xf>
    <xf numFmtId="176" fontId="76" fillId="26" borderId="9" xfId="0" applyNumberFormat="1" applyFont="1" applyFill="1" applyBorder="1" applyAlignment="1">
      <alignment horizontal="right" vertical="center" indent="4"/>
    </xf>
    <xf numFmtId="176" fontId="78" fillId="9" borderId="9" xfId="0" applyNumberFormat="1" applyFont="1" applyFill="1" applyBorder="1" applyAlignment="1">
      <alignment horizontal="right" vertical="center" indent="4"/>
    </xf>
    <xf numFmtId="0" fontId="16" fillId="2" borderId="14" xfId="0" applyFont="1" applyFill="1" applyBorder="1">
      <alignment vertical="center"/>
    </xf>
    <xf numFmtId="0" fontId="16" fillId="2" borderId="15" xfId="0" applyFont="1" applyFill="1" applyBorder="1">
      <alignment vertical="center"/>
    </xf>
    <xf numFmtId="0" fontId="16" fillId="2" borderId="16" xfId="0" applyFont="1" applyFill="1" applyBorder="1">
      <alignment vertical="center"/>
    </xf>
    <xf numFmtId="176" fontId="76" fillId="47" borderId="8" xfId="0" applyNumberFormat="1" applyFont="1" applyFill="1" applyBorder="1" applyAlignment="1">
      <alignment horizontal="right" vertical="center"/>
    </xf>
    <xf numFmtId="176" fontId="78" fillId="33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/>
    </xf>
    <xf numFmtId="176" fontId="79" fillId="54" borderId="9" xfId="0" applyNumberFormat="1" applyFont="1" applyFill="1" applyBorder="1" applyAlignment="1">
      <alignment horizontal="right" vertical="center"/>
    </xf>
    <xf numFmtId="176" fontId="78" fillId="58" borderId="8" xfId="0" applyNumberFormat="1" applyFont="1" applyFill="1" applyBorder="1" applyAlignment="1">
      <alignment horizontal="right" vertical="center"/>
    </xf>
    <xf numFmtId="176" fontId="78" fillId="77" borderId="8" xfId="0" applyNumberFormat="1" applyFont="1" applyFill="1" applyBorder="1" applyAlignment="1">
      <alignment horizontal="right" vertical="center"/>
    </xf>
    <xf numFmtId="176" fontId="79" fillId="71" borderId="9" xfId="0" applyNumberFormat="1" applyFont="1" applyFill="1" applyBorder="1" applyAlignment="1">
      <alignment horizontal="right" vertical="center"/>
    </xf>
    <xf numFmtId="176" fontId="76" fillId="83" borderId="7" xfId="0" applyNumberFormat="1" applyFont="1" applyFill="1" applyBorder="1" applyAlignment="1">
      <alignment horizontal="right" vertical="center"/>
    </xf>
    <xf numFmtId="176" fontId="76" fillId="42" borderId="8" xfId="0" applyNumberFormat="1" applyFont="1" applyFill="1" applyBorder="1" applyAlignment="1">
      <alignment horizontal="right" vertical="center"/>
    </xf>
    <xf numFmtId="176" fontId="78" fillId="55" borderId="7" xfId="0" applyNumberFormat="1" applyFont="1" applyFill="1" applyBorder="1" applyAlignment="1">
      <alignment horizontal="right" vertical="center"/>
    </xf>
    <xf numFmtId="176" fontId="78" fillId="55" borderId="8" xfId="0" applyNumberFormat="1" applyFont="1" applyFill="1" applyBorder="1" applyAlignment="1">
      <alignment horizontal="right" vertical="center"/>
    </xf>
    <xf numFmtId="176" fontId="78" fillId="56" borderId="8" xfId="0" applyNumberFormat="1" applyFont="1" applyFill="1" applyBorder="1" applyAlignment="1">
      <alignment horizontal="right" vertical="center"/>
    </xf>
    <xf numFmtId="176" fontId="78" fillId="65" borderId="7" xfId="0" applyNumberFormat="1" applyFont="1" applyFill="1" applyBorder="1" applyAlignment="1">
      <alignment horizontal="right" vertical="center"/>
    </xf>
    <xf numFmtId="176" fontId="78" fillId="66" borderId="7" xfId="0" applyNumberFormat="1" applyFont="1" applyFill="1" applyBorder="1" applyAlignment="1">
      <alignment horizontal="right" vertical="center"/>
    </xf>
    <xf numFmtId="176" fontId="78" fillId="88" borderId="8" xfId="0" applyNumberFormat="1" applyFont="1" applyFill="1" applyBorder="1" applyAlignment="1">
      <alignment horizontal="right" vertical="center"/>
    </xf>
    <xf numFmtId="176" fontId="78" fillId="56" borderId="7" xfId="0" applyNumberFormat="1" applyFont="1" applyFill="1" applyBorder="1" applyAlignment="1">
      <alignment horizontal="right" vertical="center"/>
    </xf>
    <xf numFmtId="176" fontId="76" fillId="34" borderId="8" xfId="0" applyNumberFormat="1" applyFont="1" applyFill="1" applyBorder="1" applyAlignment="1">
      <alignment horizontal="right" vertical="center"/>
    </xf>
    <xf numFmtId="176" fontId="76" fillId="10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 indent="4"/>
    </xf>
    <xf numFmtId="179" fontId="82" fillId="2" borderId="11" xfId="0" applyNumberFormat="1" applyFont="1" applyFill="1" applyBorder="1" applyAlignment="1">
      <alignment horizontal="right" vertical="center"/>
    </xf>
    <xf numFmtId="176" fontId="77" fillId="74" borderId="6" xfId="0" applyNumberFormat="1" applyFont="1" applyFill="1" applyBorder="1" applyAlignment="1">
      <alignment horizontal="right" vertical="center"/>
    </xf>
    <xf numFmtId="176" fontId="77" fillId="90" borderId="7" xfId="0" applyNumberFormat="1" applyFont="1" applyFill="1" applyBorder="1" applyAlignment="1">
      <alignment horizontal="right" vertical="center"/>
    </xf>
    <xf numFmtId="176" fontId="77" fillId="83" borderId="9" xfId="0" applyNumberFormat="1" applyFont="1" applyFill="1" applyBorder="1" applyAlignment="1">
      <alignment horizontal="right" vertical="center"/>
    </xf>
    <xf numFmtId="176" fontId="77" fillId="35" borderId="9" xfId="0" applyNumberFormat="1" applyFont="1" applyFill="1" applyBorder="1" applyAlignment="1">
      <alignment horizontal="right" vertical="center" indent="4"/>
    </xf>
    <xf numFmtId="176" fontId="79" fillId="72" borderId="9" xfId="0" applyNumberFormat="1" applyFont="1" applyFill="1" applyBorder="1" applyAlignment="1">
      <alignment horizontal="right" vertical="center"/>
    </xf>
    <xf numFmtId="176" fontId="79" fillId="58" borderId="9" xfId="0" applyNumberFormat="1" applyFont="1" applyFill="1" applyBorder="1" applyAlignment="1">
      <alignment horizontal="right" vertical="center"/>
    </xf>
    <xf numFmtId="178" fontId="72" fillId="2" borderId="16" xfId="0" applyNumberFormat="1" applyFont="1" applyFill="1" applyBorder="1" applyAlignment="1">
      <alignment horizontal="right" vertical="center"/>
    </xf>
    <xf numFmtId="179" fontId="72" fillId="2" borderId="14" xfId="0" applyNumberFormat="1" applyFont="1" applyFill="1" applyBorder="1" applyAlignment="1">
      <alignment horizontal="right" vertical="center"/>
    </xf>
    <xf numFmtId="0" fontId="7" fillId="2" borderId="14" xfId="0" applyFont="1" applyFill="1" applyBorder="1" applyAlignment="1">
      <alignment horizontal="right" vertical="center"/>
    </xf>
    <xf numFmtId="0" fontId="7" fillId="2" borderId="15" xfId="0" applyFont="1" applyFill="1" applyBorder="1" applyAlignment="1">
      <alignment horizontal="right" vertical="center" wrapText="1"/>
    </xf>
    <xf numFmtId="0" fontId="20" fillId="2" borderId="16" xfId="0" applyFont="1" applyFill="1" applyBorder="1" applyAlignment="1">
      <alignment vertical="center" shrinkToFit="1"/>
    </xf>
    <xf numFmtId="0" fontId="73" fillId="2" borderId="0" xfId="0" applyFont="1" applyFill="1" applyAlignment="1">
      <alignment horizontal="center" vertical="center"/>
    </xf>
    <xf numFmtId="0" fontId="73" fillId="2" borderId="1" xfId="0" applyFont="1" applyFill="1" applyBorder="1" applyAlignment="1">
      <alignment horizontal="center" vertical="center"/>
    </xf>
    <xf numFmtId="0" fontId="73" fillId="2" borderId="4" xfId="0" applyFont="1" applyFill="1" applyBorder="1" applyAlignment="1">
      <alignment horizontal="center" vertical="center"/>
    </xf>
    <xf numFmtId="176" fontId="76" fillId="41" borderId="52" xfId="0" applyNumberFormat="1" applyFont="1" applyFill="1" applyBorder="1" applyAlignment="1">
      <alignment horizontal="right" vertical="center"/>
    </xf>
    <xf numFmtId="176" fontId="76" fillId="51" borderId="52" xfId="0" applyNumberFormat="1" applyFont="1" applyFill="1" applyBorder="1" applyAlignment="1">
      <alignment horizontal="right" vertical="center"/>
    </xf>
    <xf numFmtId="176" fontId="77" fillId="57" borderId="53" xfId="0" applyNumberFormat="1" applyFont="1" applyFill="1" applyBorder="1" applyAlignment="1">
      <alignment horizontal="right" vertical="center"/>
    </xf>
    <xf numFmtId="176" fontId="79" fillId="45" borderId="53" xfId="0" applyNumberFormat="1" applyFont="1" applyFill="1" applyBorder="1" applyAlignment="1">
      <alignment horizontal="right" vertical="center"/>
    </xf>
    <xf numFmtId="176" fontId="79" fillId="77" borderId="53" xfId="0" applyNumberFormat="1" applyFont="1" applyFill="1" applyBorder="1" applyAlignment="1">
      <alignment horizontal="right" vertical="center"/>
    </xf>
    <xf numFmtId="176" fontId="79" fillId="59" borderId="53" xfId="0" applyNumberFormat="1" applyFont="1" applyFill="1" applyBorder="1" applyAlignment="1">
      <alignment horizontal="right" vertical="center"/>
    </xf>
    <xf numFmtId="176" fontId="79" fillId="87" borderId="53" xfId="0" applyNumberFormat="1" applyFont="1" applyFill="1" applyBorder="1" applyAlignment="1">
      <alignment horizontal="right" vertical="center"/>
    </xf>
    <xf numFmtId="176" fontId="79" fillId="66" borderId="53" xfId="0" applyNumberFormat="1" applyFont="1" applyFill="1" applyBorder="1" applyAlignment="1">
      <alignment horizontal="right" vertical="center"/>
    </xf>
    <xf numFmtId="176" fontId="79" fillId="62" borderId="53" xfId="0" applyNumberFormat="1" applyFont="1" applyFill="1" applyBorder="1" applyAlignment="1">
      <alignment horizontal="right" vertical="center"/>
    </xf>
    <xf numFmtId="176" fontId="77" fillId="12" borderId="53" xfId="0" applyNumberFormat="1" applyFont="1" applyFill="1" applyBorder="1" applyAlignment="1">
      <alignment horizontal="right" vertical="center"/>
    </xf>
    <xf numFmtId="176" fontId="76" fillId="34" borderId="53" xfId="0" applyNumberFormat="1" applyFont="1" applyFill="1" applyBorder="1" applyAlignment="1">
      <alignment horizontal="right" vertical="center"/>
    </xf>
    <xf numFmtId="176" fontId="79" fillId="71" borderId="53" xfId="0" applyNumberFormat="1" applyFont="1" applyFill="1" applyBorder="1" applyAlignment="1">
      <alignment horizontal="right" vertical="center" indent="4"/>
    </xf>
    <xf numFmtId="178" fontId="72" fillId="2" borderId="3" xfId="0" applyNumberFormat="1" applyFont="1" applyFill="1" applyBorder="1" applyAlignment="1">
      <alignment horizontal="right" vertical="center"/>
    </xf>
    <xf numFmtId="0" fontId="80" fillId="2" borderId="14" xfId="0" applyFont="1" applyFill="1" applyBorder="1" applyAlignment="1">
      <alignment horizontal="right" vertical="center"/>
    </xf>
    <xf numFmtId="0" fontId="80" fillId="2" borderId="15" xfId="0" applyFont="1" applyFill="1" applyBorder="1" applyAlignment="1">
      <alignment horizontal="right" vertical="center" wrapText="1"/>
    </xf>
    <xf numFmtId="0" fontId="81" fillId="2" borderId="16" xfId="0" applyFont="1" applyFill="1" applyBorder="1" applyAlignment="1">
      <alignment vertical="center" shrinkToFit="1"/>
    </xf>
    <xf numFmtId="176" fontId="77" fillId="7" borderId="16" xfId="0" applyNumberFormat="1" applyFont="1" applyFill="1" applyBorder="1" applyAlignment="1">
      <alignment horizontal="right" vertical="center"/>
    </xf>
    <xf numFmtId="176" fontId="77" fillId="39" borderId="3" xfId="0" applyNumberFormat="1" applyFont="1" applyFill="1" applyBorder="1" applyAlignment="1">
      <alignment horizontal="right" vertical="center"/>
    </xf>
    <xf numFmtId="176" fontId="76" fillId="35" borderId="3" xfId="0" applyNumberFormat="1" applyFont="1" applyFill="1" applyBorder="1" applyAlignment="1">
      <alignment horizontal="right" vertical="center"/>
    </xf>
    <xf numFmtId="176" fontId="78" fillId="33" borderId="3" xfId="0" applyNumberFormat="1" applyFont="1" applyFill="1" applyBorder="1" applyAlignment="1">
      <alignment horizontal="right" vertical="center"/>
    </xf>
    <xf numFmtId="176" fontId="78" fillId="67" borderId="3" xfId="0" applyNumberFormat="1" applyFont="1" applyFill="1" applyBorder="1" applyAlignment="1">
      <alignment horizontal="right" vertical="center"/>
    </xf>
    <xf numFmtId="176" fontId="78" fillId="53" borderId="3" xfId="0" applyNumberFormat="1" applyFont="1" applyFill="1" applyBorder="1" applyAlignment="1">
      <alignment horizontal="right" vertical="center"/>
    </xf>
    <xf numFmtId="176" fontId="78" fillId="60" borderId="3" xfId="0" applyNumberFormat="1" applyFont="1" applyFill="1" applyBorder="1" applyAlignment="1">
      <alignment horizontal="right" vertical="center"/>
    </xf>
    <xf numFmtId="176" fontId="78" fillId="72" borderId="3" xfId="0" applyNumberFormat="1" applyFont="1" applyFill="1" applyBorder="1" applyAlignment="1">
      <alignment horizontal="right" vertical="center"/>
    </xf>
    <xf numFmtId="176" fontId="78" fillId="50" borderId="3" xfId="0" applyNumberFormat="1" applyFont="1" applyFill="1" applyBorder="1" applyAlignment="1">
      <alignment horizontal="right" vertical="center"/>
    </xf>
    <xf numFmtId="176" fontId="76" fillId="12" borderId="3" xfId="0" applyNumberFormat="1" applyFont="1" applyFill="1" applyBorder="1" applyAlignment="1">
      <alignment horizontal="right" vertical="center"/>
    </xf>
    <xf numFmtId="176" fontId="77" fillId="51" borderId="3" xfId="0" applyNumberFormat="1" applyFont="1" applyFill="1" applyBorder="1" applyAlignment="1">
      <alignment horizontal="right" vertical="center"/>
    </xf>
    <xf numFmtId="176" fontId="78" fillId="86" borderId="14" xfId="0" applyNumberFormat="1" applyFont="1" applyFill="1" applyBorder="1" applyAlignment="1">
      <alignment horizontal="right" vertical="center" indent="4"/>
    </xf>
    <xf numFmtId="0" fontId="4" fillId="0" borderId="54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6" fillId="0" borderId="0" xfId="0" applyFont="1" applyAlignment="1">
      <alignment horizontal="right" vertical="center"/>
    </xf>
    <xf numFmtId="177" fontId="43" fillId="0" borderId="0" xfId="0" applyNumberFormat="1" applyFont="1" applyAlignment="1">
      <alignment horizontal="right" vertical="center" indent="5"/>
    </xf>
    <xf numFmtId="0" fontId="43" fillId="0" borderId="0" xfId="0" applyFont="1" applyAlignment="1">
      <alignment horizontal="right" vertical="center" indent="3"/>
    </xf>
    <xf numFmtId="0" fontId="87" fillId="0" borderId="0" xfId="0" applyFont="1" applyAlignment="1">
      <alignment horizontal="center" vertical="center"/>
    </xf>
    <xf numFmtId="0" fontId="86" fillId="0" borderId="32" xfId="0" applyFont="1" applyBorder="1" applyAlignment="1">
      <alignment horizontal="right" vertical="center"/>
    </xf>
    <xf numFmtId="0" fontId="86" fillId="0" borderId="32" xfId="0" applyFont="1" applyBorder="1" applyAlignment="1">
      <alignment horizontal="center" vertical="center"/>
    </xf>
    <xf numFmtId="0" fontId="88" fillId="0" borderId="34" xfId="0" applyFont="1" applyBorder="1" applyAlignment="1">
      <alignment horizontal="right" vertical="center"/>
    </xf>
    <xf numFmtId="0" fontId="53" fillId="0" borderId="34" xfId="0" applyFont="1" applyBorder="1" applyAlignment="1">
      <alignment horizontal="right" vertical="center"/>
    </xf>
    <xf numFmtId="0" fontId="86" fillId="0" borderId="34" xfId="0" applyFont="1" applyBorder="1" applyAlignment="1">
      <alignment horizontal="right" vertical="center"/>
    </xf>
    <xf numFmtId="0" fontId="86" fillId="0" borderId="35" xfId="0" applyFont="1" applyBorder="1" applyAlignment="1">
      <alignment horizontal="center" vertical="center"/>
    </xf>
    <xf numFmtId="177" fontId="90" fillId="82" borderId="40" xfId="0" applyNumberFormat="1" applyFont="1" applyFill="1" applyBorder="1" applyAlignment="1">
      <alignment horizontal="right" vertical="center" indent="4"/>
    </xf>
    <xf numFmtId="177" fontId="89" fillId="10" borderId="40" xfId="0" applyNumberFormat="1" applyFont="1" applyFill="1" applyBorder="1" applyAlignment="1">
      <alignment horizontal="right" vertical="center" indent="4"/>
    </xf>
    <xf numFmtId="177" fontId="89" fillId="27" borderId="40" xfId="0" applyNumberFormat="1" applyFont="1" applyFill="1" applyBorder="1" applyAlignment="1">
      <alignment horizontal="right" vertical="center" indent="4"/>
    </xf>
    <xf numFmtId="177" fontId="89" fillId="75" borderId="40" xfId="0" applyNumberFormat="1" applyFont="1" applyFill="1" applyBorder="1" applyAlignment="1">
      <alignment horizontal="right" vertical="center" indent="4"/>
    </xf>
    <xf numFmtId="177" fontId="89" fillId="84" borderId="40" xfId="0" applyNumberFormat="1" applyFont="1" applyFill="1" applyBorder="1" applyAlignment="1">
      <alignment horizontal="right" vertical="center" indent="4"/>
    </xf>
    <xf numFmtId="177" fontId="89" fillId="31" borderId="40" xfId="0" applyNumberFormat="1" applyFont="1" applyFill="1" applyBorder="1" applyAlignment="1">
      <alignment horizontal="right" vertical="center" indent="4"/>
    </xf>
    <xf numFmtId="177" fontId="89" fillId="6" borderId="40" xfId="0" applyNumberFormat="1" applyFont="1" applyFill="1" applyBorder="1" applyAlignment="1">
      <alignment horizontal="right" vertical="center" indent="4"/>
    </xf>
    <xf numFmtId="177" fontId="89" fillId="41" borderId="40" xfId="0" applyNumberFormat="1" applyFont="1" applyFill="1" applyBorder="1" applyAlignment="1">
      <alignment horizontal="right" vertical="center" indent="4"/>
    </xf>
    <xf numFmtId="177" fontId="89" fillId="28" borderId="40" xfId="0" applyNumberFormat="1" applyFont="1" applyFill="1" applyBorder="1" applyAlignment="1">
      <alignment horizontal="right" vertical="center" indent="4"/>
    </xf>
    <xf numFmtId="177" fontId="89" fillId="83" borderId="40" xfId="0" applyNumberFormat="1" applyFont="1" applyFill="1" applyBorder="1" applyAlignment="1">
      <alignment horizontal="right" vertical="center" indent="4"/>
    </xf>
    <xf numFmtId="177" fontId="89" fillId="34" borderId="40" xfId="0" applyNumberFormat="1" applyFont="1" applyFill="1" applyBorder="1" applyAlignment="1">
      <alignment horizontal="right" vertical="center" indent="4"/>
    </xf>
    <xf numFmtId="177" fontId="89" fillId="47" borderId="40" xfId="0" applyNumberFormat="1" applyFont="1" applyFill="1" applyBorder="1" applyAlignment="1">
      <alignment horizontal="right" vertical="center" indent="4"/>
    </xf>
    <xf numFmtId="177" fontId="89" fillId="51" borderId="40" xfId="0" applyNumberFormat="1" applyFont="1" applyFill="1" applyBorder="1" applyAlignment="1">
      <alignment horizontal="right" vertical="center" indent="4"/>
    </xf>
    <xf numFmtId="177" fontId="89" fillId="85" borderId="40" xfId="0" applyNumberFormat="1" applyFont="1" applyFill="1" applyBorder="1" applyAlignment="1">
      <alignment horizontal="right" vertical="center" indent="4"/>
    </xf>
    <xf numFmtId="177" fontId="89" fillId="42" borderId="40" xfId="0" applyNumberFormat="1" applyFont="1" applyFill="1" applyBorder="1" applyAlignment="1">
      <alignment horizontal="right" vertical="center" indent="4"/>
    </xf>
    <xf numFmtId="177" fontId="89" fillId="35" borderId="40" xfId="0" applyNumberFormat="1" applyFont="1" applyFill="1" applyBorder="1" applyAlignment="1">
      <alignment horizontal="right" vertical="center" indent="4"/>
    </xf>
    <xf numFmtId="177" fontId="89" fillId="26" borderId="40" xfId="0" applyNumberFormat="1" applyFont="1" applyFill="1" applyBorder="1" applyAlignment="1">
      <alignment horizontal="right" vertical="center" indent="4"/>
    </xf>
    <xf numFmtId="177" fontId="91" fillId="57" borderId="40" xfId="0" applyNumberFormat="1" applyFont="1" applyFill="1" applyBorder="1" applyAlignment="1">
      <alignment horizontal="right" vertical="center" indent="4"/>
    </xf>
    <xf numFmtId="177" fontId="91" fillId="32" borderId="40" xfId="0" applyNumberFormat="1" applyFont="1" applyFill="1" applyBorder="1" applyAlignment="1">
      <alignment horizontal="right" vertical="center" indent="4"/>
    </xf>
    <xf numFmtId="177" fontId="91" fillId="9" borderId="40" xfId="0" applyNumberFormat="1" applyFont="1" applyFill="1" applyBorder="1" applyAlignment="1">
      <alignment horizontal="right" vertical="center" indent="4"/>
    </xf>
    <xf numFmtId="177" fontId="91" fillId="86" borderId="40" xfId="0" applyNumberFormat="1" applyFont="1" applyFill="1" applyBorder="1" applyAlignment="1">
      <alignment horizontal="right" vertical="center" indent="4"/>
    </xf>
    <xf numFmtId="177" fontId="91" fillId="50" borderId="40" xfId="0" applyNumberFormat="1" applyFont="1" applyFill="1" applyBorder="1" applyAlignment="1">
      <alignment horizontal="right" vertical="center" indent="4"/>
    </xf>
    <xf numFmtId="177" fontId="91" fillId="54" borderId="40" xfId="0" applyNumberFormat="1" applyFont="1" applyFill="1" applyBorder="1" applyAlignment="1">
      <alignment horizontal="right" vertical="center" indent="4"/>
    </xf>
    <xf numFmtId="177" fontId="91" fillId="62" borderId="40" xfId="0" applyNumberFormat="1" applyFont="1" applyFill="1" applyBorder="1" applyAlignment="1">
      <alignment horizontal="right" vertical="center" indent="4"/>
    </xf>
    <xf numFmtId="0" fontId="86" fillId="0" borderId="62" xfId="0" applyFont="1" applyBorder="1" applyAlignment="1">
      <alignment horizontal="right" vertical="center"/>
    </xf>
    <xf numFmtId="177" fontId="92" fillId="65" borderId="49" xfId="0" applyNumberFormat="1" applyFont="1" applyFill="1" applyBorder="1" applyAlignment="1">
      <alignment horizontal="right" vertical="center" indent="4"/>
    </xf>
    <xf numFmtId="177" fontId="91" fillId="60" borderId="49" xfId="0" applyNumberFormat="1" applyFont="1" applyFill="1" applyBorder="1" applyAlignment="1">
      <alignment horizontal="right" vertical="center" indent="4"/>
    </xf>
    <xf numFmtId="0" fontId="94" fillId="0" borderId="34" xfId="0" applyFont="1" applyBorder="1" applyAlignment="1">
      <alignment horizontal="right" vertical="center"/>
    </xf>
    <xf numFmtId="177" fontId="91" fillId="45" borderId="49" xfId="0" applyNumberFormat="1" applyFont="1" applyFill="1" applyBorder="1" applyAlignment="1">
      <alignment horizontal="right" vertical="center" indent="4"/>
    </xf>
    <xf numFmtId="177" fontId="91" fillId="88" borderId="49" xfId="0" applyNumberFormat="1" applyFont="1" applyFill="1" applyBorder="1" applyAlignment="1">
      <alignment horizontal="right" vertical="center" indent="4"/>
    </xf>
    <xf numFmtId="177" fontId="91" fillId="72" borderId="49" xfId="0" applyNumberFormat="1" applyFont="1" applyFill="1" applyBorder="1" applyAlignment="1">
      <alignment horizontal="right" vertical="center" indent="4"/>
    </xf>
    <xf numFmtId="177" fontId="91" fillId="56" borderId="49" xfId="0" applyNumberFormat="1" applyFont="1" applyFill="1" applyBorder="1" applyAlignment="1">
      <alignment horizontal="right" vertical="center" indent="4"/>
    </xf>
    <xf numFmtId="177" fontId="91" fillId="53" borderId="49" xfId="0" applyNumberFormat="1" applyFont="1" applyFill="1" applyBorder="1" applyAlignment="1">
      <alignment horizontal="right" vertical="center" indent="4"/>
    </xf>
    <xf numFmtId="177" fontId="91" fillId="58" borderId="49" xfId="0" applyNumberFormat="1" applyFont="1" applyFill="1" applyBorder="1" applyAlignment="1">
      <alignment horizontal="right" vertical="center" indent="4"/>
    </xf>
    <xf numFmtId="177" fontId="89" fillId="7" borderId="40" xfId="0" applyNumberFormat="1" applyFont="1" applyFill="1" applyBorder="1" applyAlignment="1">
      <alignment horizontal="right" vertical="center" indent="4"/>
    </xf>
    <xf numFmtId="177" fontId="89" fillId="46" borderId="40" xfId="0" applyNumberFormat="1" applyFont="1" applyFill="1" applyBorder="1" applyAlignment="1">
      <alignment horizontal="right" vertical="center" indent="4"/>
    </xf>
    <xf numFmtId="0" fontId="95" fillId="0" borderId="58" xfId="0" applyFont="1" applyBorder="1" applyAlignment="1">
      <alignment horizontal="right" vertical="center" indent="3"/>
    </xf>
    <xf numFmtId="0" fontId="95" fillId="0" borderId="64" xfId="0" applyFont="1" applyBorder="1" applyAlignment="1">
      <alignment horizontal="right" vertical="center" indent="3"/>
    </xf>
    <xf numFmtId="0" fontId="87" fillId="0" borderId="32" xfId="0" applyFont="1" applyBorder="1" applyAlignment="1">
      <alignment horizontal="left" vertical="center"/>
    </xf>
    <xf numFmtId="0" fontId="87" fillId="0" borderId="35" xfId="0" applyFont="1" applyBorder="1" applyAlignment="1">
      <alignment horizontal="left" vertical="center"/>
    </xf>
    <xf numFmtId="0" fontId="86" fillId="0" borderId="32" xfId="0" applyFont="1" applyBorder="1" applyAlignment="1">
      <alignment horizontal="left" vertical="center"/>
    </xf>
    <xf numFmtId="0" fontId="87" fillId="0" borderId="32" xfId="0" applyFont="1" applyBorder="1" applyAlignment="1">
      <alignment horizontal="left" vertical="center" wrapText="1"/>
    </xf>
    <xf numFmtId="0" fontId="96" fillId="0" borderId="34" xfId="0" applyFont="1" applyBorder="1" applyAlignment="1">
      <alignment horizontal="right" vertical="center"/>
    </xf>
    <xf numFmtId="0" fontId="97" fillId="0" borderId="34" xfId="0" applyFont="1" applyBorder="1" applyAlignment="1">
      <alignment horizontal="right" vertical="center"/>
    </xf>
    <xf numFmtId="0" fontId="98" fillId="0" borderId="34" xfId="0" applyFont="1" applyBorder="1" applyAlignment="1">
      <alignment horizontal="right" vertical="center"/>
    </xf>
    <xf numFmtId="0" fontId="69" fillId="0" borderId="32" xfId="0" applyFont="1" applyBorder="1" applyAlignment="1">
      <alignment vertical="center" wrapText="1"/>
    </xf>
    <xf numFmtId="0" fontId="35" fillId="0" borderId="32" xfId="0" applyFont="1" applyBorder="1" applyAlignment="1">
      <alignment horizontal="right" vertical="center" shrinkToFit="1"/>
    </xf>
    <xf numFmtId="0" fontId="100" fillId="0" borderId="32" xfId="0" applyFont="1" applyBorder="1" applyAlignment="1">
      <alignment horizontal="right" vertical="center" shrinkToFit="1"/>
    </xf>
    <xf numFmtId="0" fontId="101" fillId="0" borderId="32" xfId="0" applyFont="1" applyBorder="1" applyAlignment="1">
      <alignment vertical="center" wrapText="1"/>
    </xf>
    <xf numFmtId="176" fontId="99" fillId="74" borderId="34" xfId="0" applyNumberFormat="1" applyFont="1" applyFill="1" applyBorder="1" applyAlignment="1">
      <alignment horizontal="right" vertical="center"/>
    </xf>
    <xf numFmtId="176" fontId="102" fillId="7" borderId="34" xfId="0" applyNumberFormat="1" applyFont="1" applyFill="1" applyBorder="1" applyAlignment="1">
      <alignment horizontal="right" vertical="center"/>
    </xf>
    <xf numFmtId="176" fontId="102" fillId="47" borderId="34" xfId="0" applyNumberFormat="1" applyFont="1" applyFill="1" applyBorder="1" applyAlignment="1">
      <alignment horizontal="right" vertical="center"/>
    </xf>
    <xf numFmtId="176" fontId="102" fillId="8" borderId="34" xfId="0" applyNumberFormat="1" applyFont="1" applyFill="1" applyBorder="1" applyAlignment="1">
      <alignment horizontal="right" vertical="center"/>
    </xf>
    <xf numFmtId="176" fontId="102" fillId="12" borderId="34" xfId="0" applyNumberFormat="1" applyFont="1" applyFill="1" applyBorder="1" applyAlignment="1">
      <alignment horizontal="right" vertical="center"/>
    </xf>
    <xf numFmtId="176" fontId="103" fillId="57" borderId="34" xfId="0" applyNumberFormat="1" applyFont="1" applyFill="1" applyBorder="1" applyAlignment="1">
      <alignment horizontal="right" vertical="center"/>
    </xf>
    <xf numFmtId="176" fontId="103" fillId="9" borderId="34" xfId="0" applyNumberFormat="1" applyFont="1" applyFill="1" applyBorder="1" applyAlignment="1">
      <alignment horizontal="right" vertical="center"/>
    </xf>
    <xf numFmtId="176" fontId="103" fillId="33" borderId="34" xfId="0" applyNumberFormat="1" applyFont="1" applyFill="1" applyBorder="1" applyAlignment="1">
      <alignment horizontal="right" vertical="center"/>
    </xf>
    <xf numFmtId="176" fontId="104" fillId="37" borderId="34" xfId="0" applyNumberFormat="1" applyFont="1" applyFill="1" applyBorder="1" applyAlignment="1">
      <alignment horizontal="right" vertical="center"/>
    </xf>
    <xf numFmtId="176" fontId="105" fillId="74" borderId="34" xfId="0" applyNumberFormat="1" applyFont="1" applyFill="1" applyBorder="1" applyAlignment="1">
      <alignment horizontal="left" vertical="center"/>
    </xf>
    <xf numFmtId="176" fontId="106" fillId="7" borderId="34" xfId="0" applyNumberFormat="1" applyFont="1" applyFill="1" applyBorder="1" applyAlignment="1">
      <alignment horizontal="left" vertical="center"/>
    </xf>
    <xf numFmtId="176" fontId="106" fillId="47" borderId="34" xfId="0" applyNumberFormat="1" applyFont="1" applyFill="1" applyBorder="1" applyAlignment="1">
      <alignment horizontal="left" vertical="center"/>
    </xf>
    <xf numFmtId="176" fontId="106" fillId="8" borderId="34" xfId="0" applyNumberFormat="1" applyFont="1" applyFill="1" applyBorder="1" applyAlignment="1">
      <alignment horizontal="left" vertical="center"/>
    </xf>
    <xf numFmtId="176" fontId="106" fillId="12" borderId="34" xfId="0" applyNumberFormat="1" applyFont="1" applyFill="1" applyBorder="1" applyAlignment="1">
      <alignment horizontal="left" vertical="center"/>
    </xf>
    <xf numFmtId="176" fontId="107" fillId="57" borderId="34" xfId="0" applyNumberFormat="1" applyFont="1" applyFill="1" applyBorder="1" applyAlignment="1">
      <alignment horizontal="left" vertical="center"/>
    </xf>
    <xf numFmtId="176" fontId="107" fillId="9" borderId="34" xfId="0" applyNumberFormat="1" applyFont="1" applyFill="1" applyBorder="1" applyAlignment="1">
      <alignment horizontal="left" vertical="center"/>
    </xf>
    <xf numFmtId="176" fontId="107" fillId="33" borderId="34" xfId="0" applyNumberFormat="1" applyFont="1" applyFill="1" applyBorder="1" applyAlignment="1">
      <alignment horizontal="left" vertical="center"/>
    </xf>
    <xf numFmtId="176" fontId="108" fillId="37" borderId="34" xfId="0" applyNumberFormat="1" applyFont="1" applyFill="1" applyBorder="1" applyAlignment="1">
      <alignment horizontal="left" vertical="center"/>
    </xf>
    <xf numFmtId="0" fontId="109" fillId="92" borderId="66" xfId="0" applyFont="1" applyFill="1" applyBorder="1" applyAlignment="1">
      <alignment horizontal="center" vertical="center"/>
    </xf>
    <xf numFmtId="0" fontId="110" fillId="92" borderId="68" xfId="0" applyFont="1" applyFill="1" applyBorder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5" fillId="2" borderId="40" xfId="0" applyFont="1" applyFill="1" applyBorder="1" applyAlignment="1">
      <alignment horizontal="left" vertical="center" shrinkToFit="1"/>
    </xf>
    <xf numFmtId="0" fontId="114" fillId="0" borderId="0" xfId="0" applyFont="1">
      <alignment vertical="center"/>
    </xf>
    <xf numFmtId="181" fontId="27" fillId="2" borderId="40" xfId="0" applyNumberFormat="1" applyFont="1" applyFill="1" applyBorder="1" applyAlignment="1">
      <alignment horizontal="right" vertical="center" indent="2"/>
    </xf>
    <xf numFmtId="180" fontId="20" fillId="4" borderId="40" xfId="0" applyNumberFormat="1" applyFont="1" applyFill="1" applyBorder="1" applyAlignment="1">
      <alignment horizontal="right" vertical="center" indent="3"/>
    </xf>
    <xf numFmtId="180" fontId="20" fillId="5" borderId="40" xfId="0" applyNumberFormat="1" applyFont="1" applyFill="1" applyBorder="1" applyAlignment="1">
      <alignment horizontal="right" vertical="center" indent="3"/>
    </xf>
    <xf numFmtId="180" fontId="20" fillId="11" borderId="40" xfId="0" applyNumberFormat="1" applyFont="1" applyFill="1" applyBorder="1" applyAlignment="1">
      <alignment horizontal="right" vertical="center" indent="3"/>
    </xf>
    <xf numFmtId="180" fontId="20" fillId="3" borderId="40" xfId="0" applyNumberFormat="1" applyFont="1" applyFill="1" applyBorder="1" applyAlignment="1">
      <alignment horizontal="right" vertical="center" indent="3"/>
    </xf>
    <xf numFmtId="180" fontId="20" fillId="6" borderId="40" xfId="0" applyNumberFormat="1" applyFont="1" applyFill="1" applyBorder="1" applyAlignment="1">
      <alignment horizontal="right" vertical="center" indent="3"/>
    </xf>
    <xf numFmtId="180" fontId="20" fillId="7" borderId="40" xfId="0" applyNumberFormat="1" applyFont="1" applyFill="1" applyBorder="1" applyAlignment="1">
      <alignment horizontal="right" vertical="center" indent="3"/>
    </xf>
    <xf numFmtId="180" fontId="20" fillId="8" borderId="40" xfId="0" applyNumberFormat="1" applyFont="1" applyFill="1" applyBorder="1" applyAlignment="1">
      <alignment horizontal="right" vertical="center" indent="3"/>
    </xf>
    <xf numFmtId="180" fontId="116" fillId="9" borderId="40" xfId="0" applyNumberFormat="1" applyFont="1" applyFill="1" applyBorder="1" applyAlignment="1">
      <alignment horizontal="right" vertical="center" indent="3"/>
    </xf>
    <xf numFmtId="180" fontId="15" fillId="3" borderId="40" xfId="0" applyNumberFormat="1" applyFont="1" applyFill="1" applyBorder="1" applyAlignment="1">
      <alignment horizontal="right" vertical="center" indent="3"/>
    </xf>
    <xf numFmtId="0" fontId="111" fillId="2" borderId="40" xfId="0" applyFont="1" applyFill="1" applyBorder="1" applyAlignment="1">
      <alignment horizontal="center" vertical="center"/>
    </xf>
    <xf numFmtId="0" fontId="117" fillId="2" borderId="40" xfId="0" applyFont="1" applyFill="1" applyBorder="1" applyAlignment="1">
      <alignment horizontal="center" vertical="center"/>
    </xf>
    <xf numFmtId="181" fontId="118" fillId="2" borderId="40" xfId="0" applyNumberFormat="1" applyFont="1" applyFill="1" applyBorder="1" applyAlignment="1">
      <alignment horizontal="right" vertical="center" indent="2"/>
    </xf>
    <xf numFmtId="0" fontId="119" fillId="2" borderId="40" xfId="0" applyFont="1" applyFill="1" applyBorder="1" applyAlignment="1">
      <alignment horizontal="right" vertical="center" wrapText="1" shrinkToFit="1"/>
    </xf>
    <xf numFmtId="0" fontId="119" fillId="2" borderId="40" xfId="0" applyFont="1" applyFill="1" applyBorder="1" applyAlignment="1">
      <alignment horizontal="right" vertical="center" shrinkToFit="1"/>
    </xf>
    <xf numFmtId="0" fontId="120" fillId="2" borderId="40" xfId="0" applyFont="1" applyFill="1" applyBorder="1" applyAlignment="1">
      <alignment horizontal="left" vertical="center" shrinkToFit="1"/>
    </xf>
    <xf numFmtId="0" fontId="121" fillId="2" borderId="40" xfId="0" applyFont="1" applyFill="1" applyBorder="1" applyAlignment="1">
      <alignment horizontal="left" vertical="center" shrinkToFit="1"/>
    </xf>
    <xf numFmtId="0" fontId="122" fillId="2" borderId="40" xfId="0" applyFont="1" applyFill="1" applyBorder="1" applyAlignment="1">
      <alignment vertical="center" wrapText="1" shrinkToFit="1"/>
    </xf>
    <xf numFmtId="0" fontId="123" fillId="2" borderId="40" xfId="0" applyFont="1" applyFill="1" applyBorder="1" applyAlignment="1">
      <alignment vertical="center" wrapText="1" shrinkToFit="1"/>
    </xf>
    <xf numFmtId="0" fontId="124" fillId="2" borderId="40" xfId="0" applyFont="1" applyFill="1" applyBorder="1" applyAlignment="1">
      <alignment vertical="center" wrapText="1" shrinkToFit="1"/>
    </xf>
    <xf numFmtId="0" fontId="119" fillId="2" borderId="40" xfId="0" applyFont="1" applyFill="1" applyBorder="1" applyAlignment="1">
      <alignment vertical="center" wrapText="1" shrinkToFit="1"/>
    </xf>
    <xf numFmtId="0" fontId="125" fillId="2" borderId="40" xfId="0" applyFont="1" applyFill="1" applyBorder="1" applyAlignment="1">
      <alignment vertical="center" wrapText="1" shrinkToFit="1"/>
    </xf>
    <xf numFmtId="0" fontId="5" fillId="2" borderId="49" xfId="0" applyFont="1" applyFill="1" applyBorder="1" applyAlignment="1">
      <alignment horizontal="left" vertical="center" shrinkToFit="1"/>
    </xf>
    <xf numFmtId="0" fontId="119" fillId="2" borderId="49" xfId="0" applyFont="1" applyFill="1" applyBorder="1" applyAlignment="1">
      <alignment horizontal="right" vertical="center" wrapText="1" shrinkToFit="1"/>
    </xf>
    <xf numFmtId="0" fontId="115" fillId="2" borderId="41" xfId="0" applyFont="1" applyFill="1" applyBorder="1" applyAlignment="1">
      <alignment horizontal="center" vertical="center"/>
    </xf>
    <xf numFmtId="0" fontId="115" fillId="2" borderId="42" xfId="0" applyFont="1" applyFill="1" applyBorder="1" applyAlignment="1">
      <alignment horizontal="center" vertical="center"/>
    </xf>
    <xf numFmtId="0" fontId="115" fillId="2" borderId="43" xfId="0" applyFont="1" applyFill="1" applyBorder="1" applyAlignment="1">
      <alignment horizontal="center" vertical="center"/>
    </xf>
    <xf numFmtId="0" fontId="5" fillId="2" borderId="49" xfId="0" applyFont="1" applyFill="1" applyBorder="1" applyAlignment="1">
      <alignment horizontal="left" vertical="center" shrinkToFit="1"/>
    </xf>
    <xf numFmtId="0" fontId="5" fillId="2" borderId="50" xfId="0" applyFont="1" applyFill="1" applyBorder="1" applyAlignment="1">
      <alignment horizontal="left" vertical="center" shrinkToFit="1"/>
    </xf>
    <xf numFmtId="0" fontId="119" fillId="2" borderId="49" xfId="0" applyFont="1" applyFill="1" applyBorder="1" applyAlignment="1">
      <alignment horizontal="right" vertical="center" wrapText="1" shrinkToFit="1"/>
    </xf>
    <xf numFmtId="0" fontId="119" fillId="2" borderId="50" xfId="0" applyFont="1" applyFill="1" applyBorder="1" applyAlignment="1">
      <alignment horizontal="right" vertical="center" wrapText="1" shrinkToFit="1"/>
    </xf>
    <xf numFmtId="0" fontId="19" fillId="2" borderId="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178" fontId="83" fillId="2" borderId="55" xfId="0" applyNumberFormat="1" applyFont="1" applyFill="1" applyBorder="1" applyAlignment="1">
      <alignment horizontal="left" vertical="center" wrapText="1"/>
    </xf>
    <xf numFmtId="178" fontId="72" fillId="2" borderId="56" xfId="0" applyNumberFormat="1" applyFont="1" applyFill="1" applyBorder="1" applyAlignment="1">
      <alignment horizontal="left" vertical="center"/>
    </xf>
    <xf numFmtId="178" fontId="72" fillId="2" borderId="57" xfId="0" applyNumberFormat="1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39" fillId="0" borderId="35" xfId="0" applyFont="1" applyBorder="1" applyAlignment="1">
      <alignment horizontal="center" vertical="center"/>
    </xf>
    <xf numFmtId="0" fontId="47" fillId="2" borderId="41" xfId="0" applyFont="1" applyFill="1" applyBorder="1" applyAlignment="1">
      <alignment horizontal="center" vertical="center"/>
    </xf>
    <xf numFmtId="0" fontId="47" fillId="2" borderId="42" xfId="0" applyFont="1" applyFill="1" applyBorder="1" applyAlignment="1">
      <alignment horizontal="center" vertical="center"/>
    </xf>
    <xf numFmtId="0" fontId="47" fillId="2" borderId="43" xfId="0" applyFont="1" applyFill="1" applyBorder="1" applyAlignment="1">
      <alignment horizontal="center" vertical="center"/>
    </xf>
    <xf numFmtId="0" fontId="85" fillId="0" borderId="62" xfId="0" applyFont="1" applyBorder="1" applyAlignment="1">
      <alignment horizontal="center"/>
    </xf>
    <xf numFmtId="177" fontId="85" fillId="0" borderId="63" xfId="0" applyNumberFormat="1" applyFont="1" applyBorder="1" applyAlignment="1">
      <alignment horizontal="right"/>
    </xf>
    <xf numFmtId="0" fontId="85" fillId="0" borderId="63" xfId="0" applyFont="1" applyBorder="1" applyAlignment="1">
      <alignment horizontal="center"/>
    </xf>
    <xf numFmtId="0" fontId="87" fillId="0" borderId="64" xfId="0" applyFont="1" applyBorder="1" applyAlignment="1">
      <alignment horizontal="center"/>
    </xf>
    <xf numFmtId="0" fontId="36" fillId="0" borderId="59" xfId="0" applyFont="1" applyBorder="1" applyAlignment="1">
      <alignment horizontal="center" vertical="top"/>
    </xf>
    <xf numFmtId="0" fontId="36" fillId="0" borderId="60" xfId="0" applyFont="1" applyBorder="1" applyAlignment="1">
      <alignment horizontal="center" vertical="top"/>
    </xf>
    <xf numFmtId="0" fontId="36" fillId="0" borderId="61" xfId="0" applyFont="1" applyBorder="1" applyAlignment="1">
      <alignment horizontal="center" vertical="top"/>
    </xf>
    <xf numFmtId="0" fontId="93" fillId="0" borderId="65" xfId="0" applyFont="1" applyBorder="1" applyAlignment="1">
      <alignment horizontal="left" vertical="top" wrapText="1"/>
    </xf>
    <xf numFmtId="0" fontId="93" fillId="0" borderId="65" xfId="0" applyFont="1" applyBorder="1" applyAlignment="1">
      <alignment horizontal="left" vertical="top"/>
    </xf>
    <xf numFmtId="0" fontId="58" fillId="2" borderId="48" xfId="0" applyFont="1" applyFill="1" applyBorder="1" applyAlignment="1">
      <alignment horizontal="center" vertical="center"/>
    </xf>
    <xf numFmtId="0" fontId="56" fillId="2" borderId="47" xfId="0" applyFont="1" applyFill="1" applyBorder="1" applyAlignment="1">
      <alignment horizontal="center" vertical="center"/>
    </xf>
    <xf numFmtId="0" fontId="56" fillId="2" borderId="20" xfId="0" applyFont="1" applyFill="1" applyBorder="1" applyAlignment="1">
      <alignment horizontal="center" vertical="center"/>
    </xf>
    <xf numFmtId="0" fontId="56" fillId="2" borderId="46" xfId="0" applyFont="1" applyFill="1" applyBorder="1" applyAlignment="1">
      <alignment horizontal="center" vertical="center"/>
    </xf>
    <xf numFmtId="0" fontId="56" fillId="2" borderId="45" xfId="0" applyFont="1" applyFill="1" applyBorder="1" applyAlignment="1">
      <alignment horizontal="center" vertical="center"/>
    </xf>
    <xf numFmtId="0" fontId="56" fillId="2" borderId="44" xfId="0" applyFont="1" applyFill="1" applyBorder="1" applyAlignment="1">
      <alignment horizontal="center" vertical="center"/>
    </xf>
    <xf numFmtId="0" fontId="15" fillId="91" borderId="32" xfId="0" applyFont="1" applyFill="1" applyBorder="1" applyAlignment="1">
      <alignment horizontal="center" vertical="center" wrapText="1"/>
    </xf>
    <xf numFmtId="0" fontId="5" fillId="92" borderId="67" xfId="0" applyFont="1" applyFill="1" applyBorder="1" applyAlignment="1">
      <alignment horizontal="center" vertical="center"/>
    </xf>
    <xf numFmtId="0" fontId="5" fillId="24" borderId="41" xfId="0" applyFont="1" applyFill="1" applyBorder="1" applyAlignment="1">
      <alignment horizontal="center" vertical="center"/>
    </xf>
    <xf numFmtId="0" fontId="5" fillId="24" borderId="42" xfId="0" applyFont="1" applyFill="1" applyBorder="1" applyAlignment="1">
      <alignment horizontal="center" vertical="center"/>
    </xf>
    <xf numFmtId="0" fontId="5" fillId="24" borderId="43" xfId="0" applyFont="1" applyFill="1" applyBorder="1" applyAlignment="1">
      <alignment horizontal="center" vertical="center"/>
    </xf>
    <xf numFmtId="0" fontId="49" fillId="2" borderId="40" xfId="0" applyFont="1" applyFill="1" applyBorder="1" applyAlignment="1">
      <alignment horizontal="center" vertical="center" wrapText="1"/>
    </xf>
    <xf numFmtId="0" fontId="20" fillId="2" borderId="40" xfId="0" applyFont="1" applyFill="1" applyBorder="1" applyAlignment="1">
      <alignment horizontal="center" vertical="center"/>
    </xf>
    <xf numFmtId="0" fontId="59" fillId="2" borderId="40" xfId="0" applyFont="1" applyFill="1" applyBorder="1" applyAlignment="1">
      <alignment horizontal="center" vertical="center"/>
    </xf>
    <xf numFmtId="0" fontId="59" fillId="2" borderId="49" xfId="0" applyFont="1" applyFill="1" applyBorder="1" applyAlignment="1">
      <alignment horizontal="center" vertical="center"/>
    </xf>
    <xf numFmtId="0" fontId="5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/>
    </xf>
    <xf numFmtId="0" fontId="4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 wrapText="1"/>
    </xf>
    <xf numFmtId="0" fontId="49" fillId="2" borderId="50" xfId="0" applyFont="1" applyFill="1" applyBorder="1" applyAlignment="1">
      <alignment horizontal="center" vertical="center" wrapText="1"/>
    </xf>
    <xf numFmtId="0" fontId="5" fillId="25" borderId="41" xfId="0" applyFont="1" applyFill="1" applyBorder="1" applyAlignment="1">
      <alignment horizontal="center" vertical="center"/>
    </xf>
    <xf numFmtId="0" fontId="5" fillId="25" borderId="42" xfId="0" applyFont="1" applyFill="1" applyBorder="1" applyAlignment="1">
      <alignment horizontal="center" vertical="center"/>
    </xf>
    <xf numFmtId="0" fontId="5" fillId="25" borderId="43" xfId="0" applyFont="1" applyFill="1" applyBorder="1" applyAlignment="1">
      <alignment horizontal="center" vertical="center"/>
    </xf>
    <xf numFmtId="0" fontId="27" fillId="2" borderId="40" xfId="0" applyFont="1" applyFill="1" applyBorder="1" applyAlignment="1">
      <alignment horizontal="center" vertical="center"/>
    </xf>
    <xf numFmtId="0" fontId="5" fillId="2" borderId="40" xfId="0" applyFont="1" applyFill="1" applyBorder="1" applyAlignment="1">
      <alignment vertical="center" shrinkToFit="1"/>
    </xf>
    <xf numFmtId="180" fontId="112" fillId="3" borderId="40" xfId="0" applyNumberFormat="1" applyFont="1" applyFill="1" applyBorder="1" applyAlignment="1">
      <alignment horizontal="right" vertical="center"/>
    </xf>
    <xf numFmtId="180" fontId="112" fillId="4" borderId="40" xfId="0" applyNumberFormat="1" applyFont="1" applyFill="1" applyBorder="1" applyAlignment="1">
      <alignment horizontal="right" vertical="center"/>
    </xf>
    <xf numFmtId="180" fontId="112" fillId="5" borderId="40" xfId="0" applyNumberFormat="1" applyFont="1" applyFill="1" applyBorder="1" applyAlignment="1">
      <alignment horizontal="right" vertical="center"/>
    </xf>
    <xf numFmtId="180" fontId="112" fillId="11" borderId="40" xfId="0" applyNumberFormat="1" applyFont="1" applyFill="1" applyBorder="1" applyAlignment="1">
      <alignment horizontal="right" vertical="center"/>
    </xf>
    <xf numFmtId="180" fontId="112" fillId="10" borderId="40" xfId="0" applyNumberFormat="1" applyFont="1" applyFill="1" applyBorder="1" applyAlignment="1">
      <alignment horizontal="right" vertical="center"/>
    </xf>
    <xf numFmtId="180" fontId="112" fillId="6" borderId="40" xfId="0" applyNumberFormat="1" applyFont="1" applyFill="1" applyBorder="1" applyAlignment="1">
      <alignment horizontal="right" vertical="center"/>
    </xf>
    <xf numFmtId="180" fontId="112" fillId="7" borderId="40" xfId="0" applyNumberFormat="1" applyFont="1" applyFill="1" applyBorder="1" applyAlignment="1">
      <alignment horizontal="right" vertical="center"/>
    </xf>
    <xf numFmtId="180" fontId="112" fillId="8" borderId="40" xfId="0" applyNumberFormat="1" applyFont="1" applyFill="1" applyBorder="1" applyAlignment="1">
      <alignment horizontal="right" vertical="center"/>
    </xf>
  </cellXfs>
  <cellStyles count="1">
    <cellStyle name="常规" xfId="0" builtinId="0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3F37C9"/>
      <color rgb="FF3A0CA3"/>
      <color rgb="FF480CA8"/>
      <color rgb="FF560BAD"/>
      <color rgb="FF7209B7"/>
      <color rgb="FFB5179E"/>
      <color rgb="FFF72585"/>
      <color rgb="FF4361EE"/>
      <color rgb="FF4CC9F0"/>
      <color rgb="FF4895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854E-1E06-41E1-805B-B7EDA0B6D313}">
  <sheetPr codeName="Sheet1" filterMode="1"/>
  <dimension ref="A1:T41"/>
  <sheetViews>
    <sheetView zoomScaleNormal="100" workbookViewId="0"/>
  </sheetViews>
  <sheetFormatPr defaultRowHeight="34.9" x14ac:dyDescent="0.4"/>
  <cols>
    <col min="1" max="1" width="20.59765625" style="246" customWidth="1"/>
    <col min="2" max="2" width="12.59765625" style="34" customWidth="1"/>
    <col min="3" max="3" width="14.59765625" style="1" customWidth="1"/>
    <col min="4" max="4" width="12.59765625" style="251" customWidth="1"/>
    <col min="5" max="5" width="22.59765625" style="36" customWidth="1"/>
    <col min="6" max="6" width="34.59765625" customWidth="1"/>
    <col min="7" max="18" width="16.59765625" customWidth="1"/>
    <col min="19" max="19" width="24.59765625" customWidth="1"/>
    <col min="20" max="20" width="9.06640625" style="1"/>
  </cols>
  <sheetData>
    <row r="1" spans="1:20" s="2" customFormat="1" ht="100.05" customHeight="1" thickTop="1" thickBot="1" x14ac:dyDescent="0.45">
      <c r="A1" s="260"/>
      <c r="B1" s="526" t="s">
        <v>362</v>
      </c>
      <c r="C1" s="527"/>
      <c r="D1" s="527"/>
      <c r="E1" s="527"/>
      <c r="F1" s="527"/>
      <c r="G1" s="524" t="s">
        <v>53</v>
      </c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525"/>
    </row>
    <row r="2" spans="1:20" s="2" customFormat="1" ht="50" customHeight="1" thickTop="1" thickBot="1" x14ac:dyDescent="0.45">
      <c r="A2" s="6" t="s">
        <v>351</v>
      </c>
      <c r="B2" s="247" t="s">
        <v>20</v>
      </c>
      <c r="C2" s="33" t="s">
        <v>21</v>
      </c>
      <c r="D2" s="344"/>
      <c r="E2" s="345"/>
      <c r="F2" s="346" t="s">
        <v>22</v>
      </c>
      <c r="G2" s="32" t="s">
        <v>23</v>
      </c>
      <c r="H2" s="32" t="s">
        <v>24</v>
      </c>
      <c r="I2" s="32" t="s">
        <v>54</v>
      </c>
      <c r="J2" s="32" t="s">
        <v>55</v>
      </c>
      <c r="K2" s="32" t="s">
        <v>56</v>
      </c>
      <c r="L2" s="32" t="s">
        <v>57</v>
      </c>
      <c r="M2" s="32" t="s">
        <v>58</v>
      </c>
      <c r="N2" s="32" t="s">
        <v>59</v>
      </c>
      <c r="O2" s="32" t="s">
        <v>60</v>
      </c>
      <c r="P2" s="32" t="s">
        <v>61</v>
      </c>
      <c r="Q2" s="31" t="s">
        <v>62</v>
      </c>
      <c r="R2" s="31" t="s">
        <v>63</v>
      </c>
      <c r="S2" s="35" t="s">
        <v>51</v>
      </c>
    </row>
    <row r="3" spans="1:20" ht="76.05" customHeight="1" thickTop="1" thickBot="1" x14ac:dyDescent="0.45">
      <c r="A3" s="261" t="str">
        <f t="shared" ref="A3:A39" si="0">F3</f>
        <v>东戈壁</v>
      </c>
      <c r="B3" s="258">
        <v>997</v>
      </c>
      <c r="C3" s="259">
        <v>49.91</v>
      </c>
      <c r="D3" s="254" t="s">
        <v>94</v>
      </c>
      <c r="E3" s="257" t="s">
        <v>339</v>
      </c>
      <c r="F3" s="250" t="s">
        <v>19</v>
      </c>
      <c r="G3" s="367">
        <v>-34.200000000000003</v>
      </c>
      <c r="H3" s="368">
        <v>-30.5</v>
      </c>
      <c r="I3" s="354">
        <v>-18.399999999999999</v>
      </c>
      <c r="J3" s="348">
        <v>1.9</v>
      </c>
      <c r="K3" s="356">
        <v>12.2</v>
      </c>
      <c r="L3" s="359">
        <v>19.2</v>
      </c>
      <c r="M3" s="360">
        <v>21.2</v>
      </c>
      <c r="N3" s="325">
        <v>18.3</v>
      </c>
      <c r="O3" s="362">
        <v>10.6</v>
      </c>
      <c r="P3" s="348">
        <v>1.1000000000000001</v>
      </c>
      <c r="Q3" s="291">
        <v>-12.1</v>
      </c>
      <c r="R3" s="364">
        <v>-26.9</v>
      </c>
      <c r="S3" s="336">
        <v>-3.1</v>
      </c>
      <c r="T3" s="3"/>
    </row>
    <row r="4" spans="1:20" ht="76.05" customHeight="1" thickTop="1" thickBot="1" x14ac:dyDescent="0.45">
      <c r="A4" s="261" t="str">
        <f t="shared" si="0"/>
        <v>特斯</v>
      </c>
      <c r="B4" s="258">
        <v>800</v>
      </c>
      <c r="C4" s="259">
        <v>50.48</v>
      </c>
      <c r="D4" s="254" t="s">
        <v>94</v>
      </c>
      <c r="E4" s="257" t="s">
        <v>339</v>
      </c>
      <c r="F4" s="250" t="s">
        <v>14</v>
      </c>
      <c r="G4" s="275">
        <v>-33.4</v>
      </c>
      <c r="H4" s="288">
        <v>-30.2</v>
      </c>
      <c r="I4" s="369">
        <v>-18.7</v>
      </c>
      <c r="J4" s="307">
        <v>2.1</v>
      </c>
      <c r="K4" s="315">
        <v>12.5</v>
      </c>
      <c r="L4" s="320">
        <v>19.100000000000001</v>
      </c>
      <c r="M4" s="326">
        <v>21.1</v>
      </c>
      <c r="N4" s="324">
        <v>18.2</v>
      </c>
      <c r="O4" s="316">
        <v>10.8</v>
      </c>
      <c r="P4" s="304">
        <v>1.4</v>
      </c>
      <c r="Q4" s="294">
        <v>-10.6</v>
      </c>
      <c r="R4" s="282">
        <v>-25.7</v>
      </c>
      <c r="S4" s="339">
        <v>-2.8</v>
      </c>
      <c r="T4" s="3"/>
    </row>
    <row r="5" spans="1:20" ht="76.05" hidden="1" customHeight="1" thickTop="1" thickBot="1" x14ac:dyDescent="0.45">
      <c r="A5" s="261" t="str">
        <f t="shared" si="0"/>
        <v>查干诺尔</v>
      </c>
      <c r="B5" s="258">
        <v>1546</v>
      </c>
      <c r="C5" s="259">
        <v>51.36</v>
      </c>
      <c r="D5" s="254" t="s">
        <v>94</v>
      </c>
      <c r="E5" s="257" t="s">
        <v>338</v>
      </c>
      <c r="F5" s="250" t="s">
        <v>328</v>
      </c>
      <c r="G5" s="275">
        <v>-33.299999999999997</v>
      </c>
      <c r="H5" s="281">
        <v>-27.9</v>
      </c>
      <c r="I5" s="298">
        <v>-15.6</v>
      </c>
      <c r="J5" s="308">
        <v>-1.6</v>
      </c>
      <c r="K5" s="305">
        <v>5.7</v>
      </c>
      <c r="L5" s="357">
        <v>12.9</v>
      </c>
      <c r="M5" s="361">
        <v>15.2</v>
      </c>
      <c r="N5" s="357">
        <v>12</v>
      </c>
      <c r="O5" s="306">
        <v>4.9000000000000004</v>
      </c>
      <c r="P5" s="293">
        <v>-4.5999999999999996</v>
      </c>
      <c r="Q5" s="285">
        <v>-18</v>
      </c>
      <c r="R5" s="334">
        <v>-29.5</v>
      </c>
      <c r="S5" s="341">
        <v>-6.6</v>
      </c>
      <c r="T5" s="3"/>
    </row>
    <row r="6" spans="1:20" ht="76.05" customHeight="1" thickTop="1" thickBot="1" x14ac:dyDescent="0.45">
      <c r="A6" s="261" t="str">
        <f t="shared" si="0"/>
        <v>鄂特冈</v>
      </c>
      <c r="B6" s="258">
        <v>2156</v>
      </c>
      <c r="C6" s="259">
        <v>47.21</v>
      </c>
      <c r="D6" s="254" t="s">
        <v>94</v>
      </c>
      <c r="E6" s="257" t="s">
        <v>340</v>
      </c>
      <c r="F6" s="250" t="s">
        <v>18</v>
      </c>
      <c r="G6" s="270">
        <v>-32.9</v>
      </c>
      <c r="H6" s="290">
        <v>-28.4</v>
      </c>
      <c r="I6" s="287">
        <v>-16.899999999999999</v>
      </c>
      <c r="J6" s="330">
        <v>-2.2999999999999998</v>
      </c>
      <c r="K6" s="305">
        <v>5.4</v>
      </c>
      <c r="L6" s="351">
        <v>11.9</v>
      </c>
      <c r="M6" s="352">
        <v>14</v>
      </c>
      <c r="N6" s="351">
        <v>11.4</v>
      </c>
      <c r="O6" s="306">
        <v>4.5999999999999996</v>
      </c>
      <c r="P6" s="293">
        <v>-4.8</v>
      </c>
      <c r="Q6" s="332">
        <v>-17.7</v>
      </c>
      <c r="R6" s="290">
        <v>-28.5</v>
      </c>
      <c r="S6" s="370">
        <v>-7</v>
      </c>
      <c r="T6" s="3"/>
    </row>
    <row r="7" spans="1:20" ht="76.05" customHeight="1" thickTop="1" thickBot="1" x14ac:dyDescent="0.45">
      <c r="A7" s="261" t="str">
        <f t="shared" si="0"/>
        <v>仁钦隆勃</v>
      </c>
      <c r="B7" s="258">
        <v>1582</v>
      </c>
      <c r="C7" s="259">
        <v>51.11</v>
      </c>
      <c r="D7" s="254" t="s">
        <v>94</v>
      </c>
      <c r="E7" s="257" t="s">
        <v>338</v>
      </c>
      <c r="F7" s="250" t="s">
        <v>11</v>
      </c>
      <c r="G7" s="270">
        <v>-32.4</v>
      </c>
      <c r="H7" s="286">
        <v>-26.6</v>
      </c>
      <c r="I7" s="298">
        <v>-15.1</v>
      </c>
      <c r="J7" s="308">
        <v>-1.6</v>
      </c>
      <c r="K7" s="305">
        <v>5.9</v>
      </c>
      <c r="L7" s="315">
        <v>12.2</v>
      </c>
      <c r="M7" s="313">
        <v>14.5</v>
      </c>
      <c r="N7" s="317">
        <v>11.9</v>
      </c>
      <c r="O7" s="306">
        <v>4.9000000000000004</v>
      </c>
      <c r="P7" s="293">
        <v>-4.4000000000000004</v>
      </c>
      <c r="Q7" s="285">
        <v>-18.2</v>
      </c>
      <c r="R7" s="334">
        <v>-29.1</v>
      </c>
      <c r="S7" s="341">
        <v>-6.5</v>
      </c>
      <c r="T7" s="3"/>
    </row>
    <row r="8" spans="1:20" ht="76.05" customHeight="1" thickTop="1" thickBot="1" x14ac:dyDescent="0.45">
      <c r="A8" s="261" t="str">
        <f t="shared" si="0"/>
        <v>乌斯季卡连加</v>
      </c>
      <c r="B8" s="258">
        <v>686</v>
      </c>
      <c r="C8" s="366">
        <v>54.4</v>
      </c>
      <c r="D8" s="253" t="s">
        <v>93</v>
      </c>
      <c r="E8" s="256" t="s">
        <v>332</v>
      </c>
      <c r="F8" s="249" t="s">
        <v>331</v>
      </c>
      <c r="G8" s="270">
        <v>-32.263330000000003</v>
      </c>
      <c r="H8" s="282">
        <v>-25.046669999999999</v>
      </c>
      <c r="I8" s="277">
        <v>-14.223330000000001</v>
      </c>
      <c r="J8" s="308">
        <v>-1.3666700000000001</v>
      </c>
      <c r="K8" s="314">
        <v>7.5433300000000001</v>
      </c>
      <c r="L8" s="313">
        <v>14.6</v>
      </c>
      <c r="M8" s="321">
        <v>16.953330000000001</v>
      </c>
      <c r="N8" s="319">
        <v>13.90667</v>
      </c>
      <c r="O8" s="303">
        <v>6.09</v>
      </c>
      <c r="P8" s="293">
        <v>-4.4133300000000002</v>
      </c>
      <c r="Q8" s="333">
        <v>-20.516670000000001</v>
      </c>
      <c r="R8" s="335">
        <v>-31.66</v>
      </c>
      <c r="S8" s="342">
        <v>-5.8666700000000001</v>
      </c>
      <c r="T8" s="3"/>
    </row>
    <row r="9" spans="1:20" ht="76.05" customHeight="1" thickTop="1" thickBot="1" x14ac:dyDescent="0.45">
      <c r="A9" s="261" t="str">
        <f t="shared" si="0"/>
        <v>托孙臣格勒</v>
      </c>
      <c r="B9" s="258">
        <v>1713</v>
      </c>
      <c r="C9" s="259">
        <v>48.76</v>
      </c>
      <c r="D9" s="254" t="s">
        <v>94</v>
      </c>
      <c r="E9" s="257" t="s">
        <v>340</v>
      </c>
      <c r="F9" s="250" t="s">
        <v>363</v>
      </c>
      <c r="G9" s="269">
        <v>-31.5</v>
      </c>
      <c r="H9" s="286">
        <v>-26.9</v>
      </c>
      <c r="I9" s="277">
        <v>-14.7</v>
      </c>
      <c r="J9" s="302">
        <v>0.6</v>
      </c>
      <c r="K9" s="314">
        <v>7.8</v>
      </c>
      <c r="L9" s="319">
        <v>13.8</v>
      </c>
      <c r="M9" s="323">
        <v>15.9</v>
      </c>
      <c r="N9" s="319">
        <v>13.2</v>
      </c>
      <c r="O9" s="303">
        <v>6.5</v>
      </c>
      <c r="P9" s="330">
        <v>-2.9</v>
      </c>
      <c r="Q9" s="287">
        <v>-16.100000000000001</v>
      </c>
      <c r="R9" s="281">
        <v>-27.1</v>
      </c>
      <c r="S9" s="342">
        <v>-5.0999999999999996</v>
      </c>
      <c r="T9" s="3"/>
    </row>
    <row r="10" spans="1:20" ht="76.05" customHeight="1" thickTop="1" thickBot="1" x14ac:dyDescent="0.45">
      <c r="A10" s="261" t="str">
        <f t="shared" si="0"/>
        <v>巴彦特斯</v>
      </c>
      <c r="B10" s="258">
        <v>1420</v>
      </c>
      <c r="C10" s="259">
        <v>49.7</v>
      </c>
      <c r="D10" s="254" t="s">
        <v>94</v>
      </c>
      <c r="E10" s="257" t="s">
        <v>340</v>
      </c>
      <c r="F10" s="250" t="s">
        <v>15</v>
      </c>
      <c r="G10" s="269">
        <v>-31.4</v>
      </c>
      <c r="H10" s="281">
        <v>-27.3</v>
      </c>
      <c r="I10" s="287">
        <v>-16.2</v>
      </c>
      <c r="J10" s="302">
        <v>0.4</v>
      </c>
      <c r="K10" s="312">
        <v>8.5</v>
      </c>
      <c r="L10" s="323">
        <v>15</v>
      </c>
      <c r="M10" s="322">
        <v>17.399999999999999</v>
      </c>
      <c r="N10" s="313">
        <v>14.5</v>
      </c>
      <c r="O10" s="314">
        <v>7.3</v>
      </c>
      <c r="P10" s="330">
        <v>-2.2999999999999998</v>
      </c>
      <c r="Q10" s="287">
        <v>-16.2</v>
      </c>
      <c r="R10" s="281">
        <v>-27.3</v>
      </c>
      <c r="S10" s="340">
        <v>-4.8</v>
      </c>
      <c r="T10" s="3"/>
    </row>
    <row r="11" spans="1:20" ht="76.05" customHeight="1" thickTop="1" thickBot="1" x14ac:dyDescent="0.45">
      <c r="A11" s="261" t="str">
        <f t="shared" si="0"/>
        <v>乌兰固木</v>
      </c>
      <c r="B11" s="258">
        <v>939</v>
      </c>
      <c r="C11" s="259">
        <v>49.97</v>
      </c>
      <c r="D11" s="254" t="s">
        <v>94</v>
      </c>
      <c r="E11" s="257" t="s">
        <v>339</v>
      </c>
      <c r="F11" s="250" t="s">
        <v>12</v>
      </c>
      <c r="G11" s="269">
        <v>-31.3</v>
      </c>
      <c r="H11" s="281">
        <v>-27.8</v>
      </c>
      <c r="I11" s="298">
        <v>-15.9</v>
      </c>
      <c r="J11" s="311">
        <v>3</v>
      </c>
      <c r="K11" s="315">
        <v>12.1</v>
      </c>
      <c r="L11" s="324">
        <v>18.5</v>
      </c>
      <c r="M11" s="327">
        <v>20.5</v>
      </c>
      <c r="N11" s="322">
        <v>17.600000000000001</v>
      </c>
      <c r="O11" s="316">
        <v>10.5</v>
      </c>
      <c r="P11" s="304">
        <v>1.7</v>
      </c>
      <c r="Q11" s="297">
        <v>-8.5</v>
      </c>
      <c r="R11" s="276">
        <v>-23.4</v>
      </c>
      <c r="S11" s="343">
        <v>-1.9</v>
      </c>
      <c r="T11" s="3"/>
    </row>
    <row r="12" spans="1:20" ht="76.05" customHeight="1" thickTop="1" thickBot="1" x14ac:dyDescent="0.45">
      <c r="A12" s="261" t="str">
        <f t="shared" si="0"/>
        <v>特斯</v>
      </c>
      <c r="B12" s="258">
        <v>1286</v>
      </c>
      <c r="C12" s="259">
        <v>49.65</v>
      </c>
      <c r="D12" s="254" t="s">
        <v>94</v>
      </c>
      <c r="E12" s="257" t="s">
        <v>340</v>
      </c>
      <c r="F12" s="250" t="s">
        <v>72</v>
      </c>
      <c r="G12" s="269">
        <v>-31.2</v>
      </c>
      <c r="H12" s="281">
        <v>-27</v>
      </c>
      <c r="I12" s="287">
        <v>-16.5</v>
      </c>
      <c r="J12" s="302">
        <v>0.8</v>
      </c>
      <c r="K12" s="318">
        <v>9.6</v>
      </c>
      <c r="L12" s="321">
        <v>16.399999999999999</v>
      </c>
      <c r="M12" s="324">
        <v>18.399999999999999</v>
      </c>
      <c r="N12" s="323">
        <v>15.7</v>
      </c>
      <c r="O12" s="312">
        <v>8.6</v>
      </c>
      <c r="P12" s="302">
        <v>-0.9</v>
      </c>
      <c r="Q12" s="277">
        <v>-14.6</v>
      </c>
      <c r="R12" s="281">
        <v>-27.2</v>
      </c>
      <c r="S12" s="340">
        <v>-4</v>
      </c>
      <c r="T12" s="3"/>
    </row>
    <row r="13" spans="1:20" ht="76.05" customHeight="1" thickTop="1" thickBot="1" x14ac:dyDescent="0.45">
      <c r="A13" s="261" t="str">
        <f t="shared" si="0"/>
        <v>埃尔津</v>
      </c>
      <c r="B13" s="258">
        <v>1100</v>
      </c>
      <c r="C13" s="259">
        <v>50.26</v>
      </c>
      <c r="D13" s="253" t="s">
        <v>93</v>
      </c>
      <c r="E13" s="256" t="s">
        <v>334</v>
      </c>
      <c r="F13" s="249" t="s">
        <v>4</v>
      </c>
      <c r="G13" s="269">
        <v>-31</v>
      </c>
      <c r="H13" s="281">
        <v>-27</v>
      </c>
      <c r="I13" s="298">
        <v>-15.3</v>
      </c>
      <c r="J13" s="307">
        <v>2.5</v>
      </c>
      <c r="K13" s="317">
        <v>11.3</v>
      </c>
      <c r="L13" s="322">
        <v>17.7</v>
      </c>
      <c r="M13" s="320">
        <v>19.8</v>
      </c>
      <c r="N13" s="322">
        <v>17.100000000000001</v>
      </c>
      <c r="O13" s="316">
        <v>10.3</v>
      </c>
      <c r="P13" s="304">
        <v>1.4</v>
      </c>
      <c r="Q13" s="296">
        <v>-11.9</v>
      </c>
      <c r="R13" s="282">
        <v>-25.2</v>
      </c>
      <c r="S13" s="339">
        <v>-2.5</v>
      </c>
      <c r="T13" s="3"/>
    </row>
    <row r="14" spans="1:20" ht="76.05" customHeight="1" thickTop="1" thickBot="1" x14ac:dyDescent="0.45">
      <c r="A14" s="261" t="str">
        <f t="shared" si="0"/>
        <v>切昆达</v>
      </c>
      <c r="B14" s="258">
        <v>272</v>
      </c>
      <c r="C14" s="259">
        <v>50.87</v>
      </c>
      <c r="D14" s="253" t="s">
        <v>93</v>
      </c>
      <c r="E14" s="256" t="s">
        <v>337</v>
      </c>
      <c r="F14" s="249" t="s">
        <v>10</v>
      </c>
      <c r="G14" s="272">
        <v>-30.5</v>
      </c>
      <c r="H14" s="276">
        <v>-23.6</v>
      </c>
      <c r="I14" s="294">
        <v>-10.8</v>
      </c>
      <c r="J14" s="307">
        <v>2</v>
      </c>
      <c r="K14" s="316">
        <v>10.4</v>
      </c>
      <c r="L14" s="321">
        <v>16.399999999999999</v>
      </c>
      <c r="M14" s="320">
        <v>19.7</v>
      </c>
      <c r="N14" s="322">
        <v>17.3</v>
      </c>
      <c r="O14" s="316">
        <v>10.199999999999999</v>
      </c>
      <c r="P14" s="302">
        <v>0.5</v>
      </c>
      <c r="Q14" s="298">
        <v>-15.4</v>
      </c>
      <c r="R14" s="334">
        <v>-29.1</v>
      </c>
      <c r="S14" s="339">
        <v>-2.7</v>
      </c>
      <c r="T14" s="3"/>
    </row>
    <row r="15" spans="1:20" ht="76.05" customHeight="1" thickTop="1" thickBot="1" x14ac:dyDescent="0.45">
      <c r="A15" s="261" t="str">
        <f t="shared" si="0"/>
        <v>乌留皮诺</v>
      </c>
      <c r="B15" s="258">
        <v>370</v>
      </c>
      <c r="C15" s="259">
        <v>52.75</v>
      </c>
      <c r="D15" s="253" t="s">
        <v>93</v>
      </c>
      <c r="E15" s="256" t="s">
        <v>332</v>
      </c>
      <c r="F15" s="249" t="s">
        <v>361</v>
      </c>
      <c r="G15" s="268">
        <v>-29.74</v>
      </c>
      <c r="H15" s="279">
        <v>-22.933330000000002</v>
      </c>
      <c r="I15" s="296">
        <v>-11.893330000000001</v>
      </c>
      <c r="J15" s="302">
        <v>0.85667000000000004</v>
      </c>
      <c r="K15" s="318">
        <v>9.0966699999999996</v>
      </c>
      <c r="L15" s="323">
        <v>15.553330000000001</v>
      </c>
      <c r="M15" s="324">
        <v>18.473330000000001</v>
      </c>
      <c r="N15" s="323">
        <v>15.463329999999999</v>
      </c>
      <c r="O15" s="314">
        <v>7.7833300000000003</v>
      </c>
      <c r="P15" s="330">
        <v>-2.4700000000000002</v>
      </c>
      <c r="Q15" s="332">
        <v>-17.913329999999998</v>
      </c>
      <c r="R15" s="290">
        <v>-28.973330000000001</v>
      </c>
      <c r="S15" s="337">
        <v>-3.90333</v>
      </c>
      <c r="T15" s="3"/>
    </row>
    <row r="16" spans="1:20" ht="76.05" customHeight="1" thickTop="1" thickBot="1" x14ac:dyDescent="0.45">
      <c r="A16" s="261" t="str">
        <f t="shared" si="0"/>
        <v>索菲斯克</v>
      </c>
      <c r="B16" s="258">
        <v>902</v>
      </c>
      <c r="C16" s="259">
        <v>52.23</v>
      </c>
      <c r="D16" s="253" t="s">
        <v>93</v>
      </c>
      <c r="E16" s="256" t="s">
        <v>337</v>
      </c>
      <c r="F16" s="249" t="s">
        <v>352</v>
      </c>
      <c r="G16" s="268">
        <v>-29.713329999999999</v>
      </c>
      <c r="H16" s="282">
        <v>-25.136669999999999</v>
      </c>
      <c r="I16" s="298">
        <v>-15.41333</v>
      </c>
      <c r="J16" s="310">
        <v>-3.71</v>
      </c>
      <c r="K16" s="303">
        <v>6.0966699999999996</v>
      </c>
      <c r="L16" s="315">
        <v>12.55</v>
      </c>
      <c r="M16" s="323">
        <v>15.75333</v>
      </c>
      <c r="N16" s="319">
        <v>13.38</v>
      </c>
      <c r="O16" s="303">
        <v>6.44</v>
      </c>
      <c r="P16" s="309">
        <v>-3.8633299999999999</v>
      </c>
      <c r="Q16" s="280">
        <v>-19.29</v>
      </c>
      <c r="R16" s="334">
        <v>-29.84667</v>
      </c>
      <c r="S16" s="341">
        <v>-6.0666700000000002</v>
      </c>
      <c r="T16" s="3"/>
    </row>
    <row r="17" spans="1:20" ht="76.05" customHeight="1" thickTop="1" thickBot="1" x14ac:dyDescent="0.45">
      <c r="A17" s="261" t="str">
        <f t="shared" si="0"/>
        <v>通戈科琴</v>
      </c>
      <c r="B17" s="258">
        <v>811</v>
      </c>
      <c r="C17" s="259">
        <v>53.53</v>
      </c>
      <c r="D17" s="253" t="s">
        <v>93</v>
      </c>
      <c r="E17" s="256" t="s">
        <v>332</v>
      </c>
      <c r="F17" s="249" t="s">
        <v>360</v>
      </c>
      <c r="G17" s="268">
        <v>-29.523330000000001</v>
      </c>
      <c r="H17" s="276">
        <v>-23.593330000000002</v>
      </c>
      <c r="I17" s="284">
        <v>-13.95</v>
      </c>
      <c r="J17" s="308">
        <v>-1.47333</v>
      </c>
      <c r="K17" s="303">
        <v>6.9333299999999998</v>
      </c>
      <c r="L17" s="319">
        <v>13.873329999999999</v>
      </c>
      <c r="M17" s="321">
        <v>16.323329999999999</v>
      </c>
      <c r="N17" s="319">
        <v>13.21</v>
      </c>
      <c r="O17" s="305">
        <v>5.65</v>
      </c>
      <c r="P17" s="293">
        <v>-4.0066699999999997</v>
      </c>
      <c r="Q17" s="285">
        <v>-18.55</v>
      </c>
      <c r="R17" s="290">
        <v>-28.65333</v>
      </c>
      <c r="S17" s="342">
        <v>-5.3166700000000002</v>
      </c>
      <c r="T17" s="3"/>
    </row>
    <row r="18" spans="1:20" ht="76.05" customHeight="1" thickTop="1" thickBot="1" x14ac:dyDescent="0.45">
      <c r="A18" s="261" t="str">
        <f t="shared" si="0"/>
        <v>埃基姆昌</v>
      </c>
      <c r="B18" s="258">
        <v>543</v>
      </c>
      <c r="C18" s="259">
        <v>53.07</v>
      </c>
      <c r="D18" s="253" t="s">
        <v>93</v>
      </c>
      <c r="E18" s="256" t="s">
        <v>342</v>
      </c>
      <c r="F18" s="249" t="s">
        <v>5</v>
      </c>
      <c r="G18" s="268">
        <v>-29.4</v>
      </c>
      <c r="H18" s="276">
        <v>-23.5</v>
      </c>
      <c r="I18" s="284">
        <v>-13</v>
      </c>
      <c r="J18" s="308">
        <v>-1.2</v>
      </c>
      <c r="K18" s="312">
        <v>8</v>
      </c>
      <c r="L18" s="313">
        <v>14.6</v>
      </c>
      <c r="M18" s="322">
        <v>17.7</v>
      </c>
      <c r="N18" s="323">
        <v>15.2</v>
      </c>
      <c r="O18" s="312">
        <v>8.1</v>
      </c>
      <c r="P18" s="330">
        <v>-2.2999999999999998</v>
      </c>
      <c r="Q18" s="332">
        <v>-17.7</v>
      </c>
      <c r="R18" s="334">
        <v>-29.2</v>
      </c>
      <c r="S18" s="340">
        <v>-4.4000000000000004</v>
      </c>
      <c r="T18" s="3"/>
    </row>
    <row r="19" spans="1:20" ht="76.05" customHeight="1" thickTop="1" thickBot="1" x14ac:dyDescent="0.45">
      <c r="A19" s="261" t="str">
        <f t="shared" si="0"/>
        <v>萨雷格谢普</v>
      </c>
      <c r="B19" s="258">
        <v>706</v>
      </c>
      <c r="C19" s="259">
        <v>51.48</v>
      </c>
      <c r="D19" s="253" t="s">
        <v>93</v>
      </c>
      <c r="E19" s="256" t="s">
        <v>334</v>
      </c>
      <c r="F19" s="249" t="s">
        <v>354</v>
      </c>
      <c r="G19" s="268">
        <v>-29.25</v>
      </c>
      <c r="H19" s="276">
        <v>-23.633330000000001</v>
      </c>
      <c r="I19" s="296">
        <v>-11.19</v>
      </c>
      <c r="J19" s="306">
        <v>4.05</v>
      </c>
      <c r="K19" s="316">
        <v>10.58</v>
      </c>
      <c r="L19" s="321">
        <v>16.77</v>
      </c>
      <c r="M19" s="320">
        <v>19.066669999999998</v>
      </c>
      <c r="N19" s="321">
        <v>16.163329999999998</v>
      </c>
      <c r="O19" s="318">
        <v>9.0166699999999995</v>
      </c>
      <c r="P19" s="302">
        <v>0.73</v>
      </c>
      <c r="Q19" s="292">
        <v>-12.713329999999999</v>
      </c>
      <c r="R19" s="282">
        <v>-25.1</v>
      </c>
      <c r="S19" s="339">
        <v>-2.1233300000000002</v>
      </c>
      <c r="T19" s="3"/>
    </row>
    <row r="20" spans="1:20" ht="76.05" customHeight="1" thickTop="1" thickBot="1" x14ac:dyDescent="0.45">
      <c r="A20" s="261" t="str">
        <f t="shared" si="0"/>
        <v>古尔班布拉格</v>
      </c>
      <c r="B20" s="258">
        <v>2422</v>
      </c>
      <c r="C20" s="259">
        <v>47.23</v>
      </c>
      <c r="D20" s="254" t="s">
        <v>94</v>
      </c>
      <c r="E20" s="257" t="s">
        <v>345</v>
      </c>
      <c r="F20" s="250" t="s">
        <v>346</v>
      </c>
      <c r="G20" s="265">
        <v>-28.8</v>
      </c>
      <c r="H20" s="289">
        <v>-24</v>
      </c>
      <c r="I20" s="277">
        <v>-14.8</v>
      </c>
      <c r="J20" s="309">
        <v>-3.4</v>
      </c>
      <c r="K20" s="350">
        <v>4</v>
      </c>
      <c r="L20" s="316">
        <v>10.9</v>
      </c>
      <c r="M20" s="315">
        <v>12.9</v>
      </c>
      <c r="N20" s="328">
        <v>10.5</v>
      </c>
      <c r="O20" s="353">
        <v>3.4</v>
      </c>
      <c r="P20" s="331">
        <v>-6.5</v>
      </c>
      <c r="Q20" s="332">
        <v>-17.100000000000001</v>
      </c>
      <c r="R20" s="286">
        <v>-26</v>
      </c>
      <c r="S20" s="341">
        <v>-6.6</v>
      </c>
      <c r="T20" s="3"/>
    </row>
    <row r="21" spans="1:20" ht="76.05" customHeight="1" thickTop="1" thickBot="1" x14ac:dyDescent="0.45">
      <c r="A21" s="261" t="str">
        <f t="shared" si="0"/>
        <v>克孜勒</v>
      </c>
      <c r="B21" s="258">
        <v>628</v>
      </c>
      <c r="C21" s="259">
        <v>51.72</v>
      </c>
      <c r="D21" s="253" t="s">
        <v>93</v>
      </c>
      <c r="E21" s="256" t="s">
        <v>334</v>
      </c>
      <c r="F21" s="249" t="s">
        <v>3</v>
      </c>
      <c r="G21" s="265">
        <v>-28.7</v>
      </c>
      <c r="H21" s="276">
        <v>-23.1</v>
      </c>
      <c r="I21" s="295">
        <v>-9.1999999999999993</v>
      </c>
      <c r="J21" s="305">
        <v>5.7</v>
      </c>
      <c r="K21" s="315">
        <v>12.7</v>
      </c>
      <c r="L21" s="320">
        <v>19</v>
      </c>
      <c r="M21" s="326">
        <v>21.1</v>
      </c>
      <c r="N21" s="322">
        <v>17.899999999999999</v>
      </c>
      <c r="O21" s="316">
        <v>10.6</v>
      </c>
      <c r="P21" s="304">
        <v>1.4</v>
      </c>
      <c r="Q21" s="296">
        <v>-11.7</v>
      </c>
      <c r="R21" s="289">
        <v>-24.4</v>
      </c>
      <c r="S21" s="338">
        <v>-0.7</v>
      </c>
      <c r="T21" s="3"/>
    </row>
    <row r="22" spans="1:20" ht="76.05" customHeight="1" thickTop="1" thickBot="1" x14ac:dyDescent="0.45">
      <c r="A22" s="261" t="str">
        <f t="shared" si="0"/>
        <v>图里河</v>
      </c>
      <c r="B22" s="258">
        <v>735</v>
      </c>
      <c r="C22" s="259">
        <v>50.48</v>
      </c>
      <c r="D22" s="252" t="s">
        <v>92</v>
      </c>
      <c r="E22" s="255" t="s">
        <v>330</v>
      </c>
      <c r="F22" s="248" t="s">
        <v>0</v>
      </c>
      <c r="G22" s="265">
        <v>-28.32</v>
      </c>
      <c r="H22" s="276">
        <v>-23.09</v>
      </c>
      <c r="I22" s="292">
        <v>-12.45</v>
      </c>
      <c r="J22" s="302">
        <v>0.26</v>
      </c>
      <c r="K22" s="312">
        <v>8.7799999999999994</v>
      </c>
      <c r="L22" s="313">
        <v>14.54</v>
      </c>
      <c r="M22" s="322">
        <v>17.350000000000001</v>
      </c>
      <c r="N22" s="313">
        <v>14.65</v>
      </c>
      <c r="O22" s="314">
        <v>7.41</v>
      </c>
      <c r="P22" s="330">
        <v>-2.16</v>
      </c>
      <c r="Q22" s="287">
        <v>-16.32</v>
      </c>
      <c r="R22" s="286">
        <v>-26.28</v>
      </c>
      <c r="S22" s="337">
        <v>-3.72</v>
      </c>
      <c r="T22" s="3"/>
    </row>
    <row r="23" spans="1:20" ht="76.05" customHeight="1" thickTop="1" thickBot="1" x14ac:dyDescent="0.45">
      <c r="A23" s="261" t="str">
        <f t="shared" si="0"/>
        <v>漠河</v>
      </c>
      <c r="B23" s="258">
        <v>434</v>
      </c>
      <c r="C23" s="259">
        <v>52.97</v>
      </c>
      <c r="D23" s="252" t="s">
        <v>92</v>
      </c>
      <c r="E23" s="255" t="s">
        <v>329</v>
      </c>
      <c r="F23" s="248" t="s">
        <v>344</v>
      </c>
      <c r="G23" s="265">
        <v>-28.17333</v>
      </c>
      <c r="H23" s="279">
        <v>-22.83</v>
      </c>
      <c r="I23" s="292">
        <v>-12.16</v>
      </c>
      <c r="J23" s="302">
        <v>0.62</v>
      </c>
      <c r="K23" s="318">
        <v>9.16</v>
      </c>
      <c r="L23" s="323">
        <v>15.9</v>
      </c>
      <c r="M23" s="324">
        <v>18.600000000000001</v>
      </c>
      <c r="N23" s="323">
        <v>15.6</v>
      </c>
      <c r="O23" s="312">
        <v>8.16</v>
      </c>
      <c r="P23" s="330">
        <v>-2.1800000000000002</v>
      </c>
      <c r="Q23" s="363">
        <v>-17.559999999999999</v>
      </c>
      <c r="R23" s="281">
        <v>-27.46</v>
      </c>
      <c r="S23" s="337">
        <v>-3.54</v>
      </c>
      <c r="T23" s="3"/>
    </row>
    <row r="24" spans="1:20" ht="76.05" customHeight="1" thickTop="1" thickBot="1" x14ac:dyDescent="0.45">
      <c r="A24" s="261" t="str">
        <f t="shared" si="0"/>
        <v>卡丘格</v>
      </c>
      <c r="B24" s="258">
        <v>533</v>
      </c>
      <c r="C24" s="259">
        <v>53.97</v>
      </c>
      <c r="D24" s="253" t="s">
        <v>93</v>
      </c>
      <c r="E24" s="256" t="s">
        <v>335</v>
      </c>
      <c r="F24" s="249" t="s">
        <v>7</v>
      </c>
      <c r="G24" s="267">
        <v>-27.9</v>
      </c>
      <c r="H24" s="276">
        <v>-23.1</v>
      </c>
      <c r="I24" s="296">
        <v>-11.5</v>
      </c>
      <c r="J24" s="304">
        <v>1.2</v>
      </c>
      <c r="K24" s="312">
        <v>8.8000000000000007</v>
      </c>
      <c r="L24" s="323">
        <v>15.7</v>
      </c>
      <c r="M24" s="324">
        <v>18.2</v>
      </c>
      <c r="N24" s="323">
        <v>15.1</v>
      </c>
      <c r="O24" s="314">
        <v>7.2</v>
      </c>
      <c r="P24" s="308">
        <v>-1.9</v>
      </c>
      <c r="Q24" s="347">
        <v>-15</v>
      </c>
      <c r="R24" s="282">
        <v>-25.1</v>
      </c>
      <c r="S24" s="337">
        <v>-3.2</v>
      </c>
      <c r="T24" s="3"/>
    </row>
    <row r="25" spans="1:20" ht="76.05" customHeight="1" thickTop="1" thickBot="1" x14ac:dyDescent="0.45">
      <c r="A25" s="261" t="str">
        <f t="shared" si="0"/>
        <v>车臣乌拉</v>
      </c>
      <c r="B25" s="258">
        <v>1928</v>
      </c>
      <c r="C25" s="259">
        <v>48.75</v>
      </c>
      <c r="D25" s="254" t="s">
        <v>94</v>
      </c>
      <c r="E25" s="257" t="s">
        <v>340</v>
      </c>
      <c r="F25" s="250" t="s">
        <v>16</v>
      </c>
      <c r="G25" s="267">
        <v>-27.6</v>
      </c>
      <c r="H25" s="289">
        <v>-24</v>
      </c>
      <c r="I25" s="277">
        <v>-14.8</v>
      </c>
      <c r="J25" s="308">
        <v>-1.3</v>
      </c>
      <c r="K25" s="305">
        <v>5.9</v>
      </c>
      <c r="L25" s="315">
        <v>12</v>
      </c>
      <c r="M25" s="313">
        <v>14.3</v>
      </c>
      <c r="N25" s="317">
        <v>11.6</v>
      </c>
      <c r="O25" s="306">
        <v>4.9000000000000004</v>
      </c>
      <c r="P25" s="293">
        <v>-4</v>
      </c>
      <c r="Q25" s="347">
        <v>-15</v>
      </c>
      <c r="R25" s="289">
        <v>-24</v>
      </c>
      <c r="S25" s="342">
        <v>-5.2</v>
      </c>
      <c r="T25" s="3"/>
    </row>
    <row r="26" spans="1:20" ht="76.05" customHeight="1" thickTop="1" thickBot="1" x14ac:dyDescent="0.45">
      <c r="A26" s="261" t="str">
        <f t="shared" si="0"/>
        <v>莫戈恰</v>
      </c>
      <c r="B26" s="258">
        <v>625</v>
      </c>
      <c r="C26" s="259">
        <v>53.75</v>
      </c>
      <c r="D26" s="253" t="s">
        <v>93</v>
      </c>
      <c r="E26" s="256" t="s">
        <v>332</v>
      </c>
      <c r="F26" s="249" t="s">
        <v>6</v>
      </c>
      <c r="G26" s="267">
        <v>-27.6</v>
      </c>
      <c r="H26" s="279">
        <v>-22</v>
      </c>
      <c r="I26" s="292">
        <v>-12.4</v>
      </c>
      <c r="J26" s="302">
        <v>-0.5</v>
      </c>
      <c r="K26" s="312">
        <v>8.1</v>
      </c>
      <c r="L26" s="323">
        <v>15</v>
      </c>
      <c r="M26" s="322">
        <v>17.399999999999999</v>
      </c>
      <c r="N26" s="313">
        <v>14.5</v>
      </c>
      <c r="O26" s="303">
        <v>6.9</v>
      </c>
      <c r="P26" s="309">
        <v>-3.2</v>
      </c>
      <c r="Q26" s="285">
        <v>-18</v>
      </c>
      <c r="R26" s="281">
        <v>-27.4</v>
      </c>
      <c r="S26" s="340">
        <v>-4.0999999999999996</v>
      </c>
      <c r="T26" s="3"/>
    </row>
    <row r="27" spans="1:20" ht="76.05" customHeight="1" thickTop="1" thickBot="1" x14ac:dyDescent="0.45">
      <c r="A27" s="261" t="str">
        <f t="shared" si="0"/>
        <v>尧勒</v>
      </c>
      <c r="B27" s="258">
        <v>675</v>
      </c>
      <c r="C27" s="259">
        <v>49.75</v>
      </c>
      <c r="D27" s="254" t="s">
        <v>94</v>
      </c>
      <c r="E27" s="257" t="s">
        <v>341</v>
      </c>
      <c r="F27" s="250" t="s">
        <v>17</v>
      </c>
      <c r="G27" s="267">
        <v>-27.5</v>
      </c>
      <c r="H27" s="279">
        <v>-22</v>
      </c>
      <c r="I27" s="297">
        <v>-8.3000000000000007</v>
      </c>
      <c r="J27" s="311">
        <v>3.6</v>
      </c>
      <c r="K27" s="317">
        <v>11</v>
      </c>
      <c r="L27" s="322">
        <v>17.5</v>
      </c>
      <c r="M27" s="327">
        <v>20</v>
      </c>
      <c r="N27" s="322">
        <v>17.3</v>
      </c>
      <c r="O27" s="318">
        <v>9.8000000000000007</v>
      </c>
      <c r="P27" s="302">
        <v>0.1</v>
      </c>
      <c r="Q27" s="292">
        <v>-12.3</v>
      </c>
      <c r="R27" s="276">
        <v>-23.6</v>
      </c>
      <c r="S27" s="343">
        <v>-1.2</v>
      </c>
      <c r="T27" s="3"/>
    </row>
    <row r="28" spans="1:20" ht="76.05" customHeight="1" thickTop="1" thickBot="1" x14ac:dyDescent="0.45">
      <c r="A28" s="261" t="str">
        <f t="shared" si="0"/>
        <v>布鲁坎</v>
      </c>
      <c r="B28" s="258">
        <v>153</v>
      </c>
      <c r="C28" s="259">
        <v>53.05</v>
      </c>
      <c r="D28" s="253" t="s">
        <v>93</v>
      </c>
      <c r="E28" s="256" t="s">
        <v>337</v>
      </c>
      <c r="F28" s="249" t="s">
        <v>353</v>
      </c>
      <c r="G28" s="267">
        <v>-27.42333</v>
      </c>
      <c r="H28" s="276">
        <v>-23.38</v>
      </c>
      <c r="I28" s="292">
        <v>-12.53</v>
      </c>
      <c r="J28" s="308">
        <v>-1.21</v>
      </c>
      <c r="K28" s="303">
        <v>6.5166700000000004</v>
      </c>
      <c r="L28" s="315">
        <v>12.91667</v>
      </c>
      <c r="M28" s="321">
        <v>16.436669999999999</v>
      </c>
      <c r="N28" s="323">
        <v>15.3</v>
      </c>
      <c r="O28" s="312">
        <v>8.9</v>
      </c>
      <c r="P28" s="302">
        <v>-0.57999999999999996</v>
      </c>
      <c r="Q28" s="298">
        <v>-15.59</v>
      </c>
      <c r="R28" s="286">
        <v>-26.77</v>
      </c>
      <c r="S28" s="337">
        <v>-3.95</v>
      </c>
      <c r="T28" s="3"/>
    </row>
    <row r="29" spans="1:20" ht="76.05" customHeight="1" thickTop="1" thickBot="1" x14ac:dyDescent="0.45">
      <c r="A29" s="261" t="str">
        <f t="shared" si="0"/>
        <v>科什阿加奇</v>
      </c>
      <c r="B29" s="258">
        <v>1759</v>
      </c>
      <c r="C29" s="259">
        <v>50.02</v>
      </c>
      <c r="D29" s="253" t="s">
        <v>93</v>
      </c>
      <c r="E29" s="256" t="s">
        <v>333</v>
      </c>
      <c r="F29" s="249" t="s">
        <v>2</v>
      </c>
      <c r="G29" s="267">
        <v>-27.3</v>
      </c>
      <c r="H29" s="279">
        <v>-22.6</v>
      </c>
      <c r="I29" s="301">
        <v>-10.5</v>
      </c>
      <c r="J29" s="304">
        <v>1</v>
      </c>
      <c r="K29" s="314">
        <v>7.4</v>
      </c>
      <c r="L29" s="319">
        <v>13.5</v>
      </c>
      <c r="M29" s="323">
        <v>15.3</v>
      </c>
      <c r="N29" s="319">
        <v>13.1</v>
      </c>
      <c r="O29" s="303">
        <v>6.6</v>
      </c>
      <c r="P29" s="330">
        <v>-2.2000000000000002</v>
      </c>
      <c r="Q29" s="277">
        <v>-14.7</v>
      </c>
      <c r="R29" s="289">
        <v>-24</v>
      </c>
      <c r="S29" s="337">
        <v>-3.7</v>
      </c>
      <c r="T29" s="3"/>
    </row>
    <row r="30" spans="1:20" ht="76.05" customHeight="1" thickTop="1" thickBot="1" x14ac:dyDescent="0.45">
      <c r="A30" s="261" t="str">
        <f t="shared" si="0"/>
        <v>巴尔古津</v>
      </c>
      <c r="B30" s="258">
        <v>489</v>
      </c>
      <c r="C30" s="259">
        <v>53.62</v>
      </c>
      <c r="D30" s="253" t="s">
        <v>93</v>
      </c>
      <c r="E30" s="256" t="s">
        <v>336</v>
      </c>
      <c r="F30" s="249" t="s">
        <v>8</v>
      </c>
      <c r="G30" s="266">
        <v>-26.4</v>
      </c>
      <c r="H30" s="283">
        <v>-20.6</v>
      </c>
      <c r="I30" s="355">
        <v>-9.3000000000000007</v>
      </c>
      <c r="J30" s="304">
        <v>1.5</v>
      </c>
      <c r="K30" s="318">
        <v>9.1999999999999993</v>
      </c>
      <c r="L30" s="321">
        <v>16.399999999999999</v>
      </c>
      <c r="M30" s="320">
        <v>19.5</v>
      </c>
      <c r="N30" s="321">
        <v>16.8</v>
      </c>
      <c r="O30" s="318">
        <v>9</v>
      </c>
      <c r="P30" s="302">
        <v>-0.1</v>
      </c>
      <c r="Q30" s="296">
        <v>-11.8</v>
      </c>
      <c r="R30" s="279">
        <v>-22.1</v>
      </c>
      <c r="S30" s="343">
        <v>-1.5</v>
      </c>
      <c r="T30" s="3"/>
    </row>
    <row r="31" spans="1:20" ht="76.05" customHeight="1" thickTop="1" thickBot="1" x14ac:dyDescent="0.45">
      <c r="A31" s="261" t="str">
        <f t="shared" si="0"/>
        <v>巴音布鲁克</v>
      </c>
      <c r="B31" s="258">
        <v>2459</v>
      </c>
      <c r="C31" s="259">
        <v>43.03</v>
      </c>
      <c r="D31" s="252" t="s">
        <v>92</v>
      </c>
      <c r="E31" s="255" t="s">
        <v>212</v>
      </c>
      <c r="F31" s="248" t="s">
        <v>1</v>
      </c>
      <c r="G31" s="266">
        <v>-26.26</v>
      </c>
      <c r="H31" s="278">
        <v>-21.56</v>
      </c>
      <c r="I31" s="301">
        <v>-10.09</v>
      </c>
      <c r="J31" s="304">
        <v>1.5</v>
      </c>
      <c r="K31" s="303">
        <v>6.13</v>
      </c>
      <c r="L31" s="371">
        <v>9.68</v>
      </c>
      <c r="M31" s="372">
        <v>11.45</v>
      </c>
      <c r="N31" s="316">
        <v>10.59</v>
      </c>
      <c r="O31" s="303">
        <v>6.44</v>
      </c>
      <c r="P31" s="302">
        <v>-0.79</v>
      </c>
      <c r="Q31" s="294">
        <v>-10.75</v>
      </c>
      <c r="R31" s="278">
        <v>-21.55</v>
      </c>
      <c r="S31" s="337">
        <v>-3.78</v>
      </c>
      <c r="T31" s="3"/>
    </row>
    <row r="32" spans="1:20" ht="76.05" customHeight="1" thickTop="1" thickBot="1" x14ac:dyDescent="0.45">
      <c r="A32" s="261" t="str">
        <f t="shared" si="0"/>
        <v>托拉赫姆</v>
      </c>
      <c r="B32" s="258">
        <v>920</v>
      </c>
      <c r="C32" s="259">
        <v>52.47</v>
      </c>
      <c r="D32" s="253" t="s">
        <v>93</v>
      </c>
      <c r="E32" s="256" t="s">
        <v>334</v>
      </c>
      <c r="F32" s="249" t="s">
        <v>355</v>
      </c>
      <c r="G32" s="266">
        <v>-26.09</v>
      </c>
      <c r="H32" s="280">
        <v>-19.85333</v>
      </c>
      <c r="I32" s="300">
        <v>-8.9</v>
      </c>
      <c r="J32" s="304">
        <v>1.24333</v>
      </c>
      <c r="K32" s="314">
        <v>7.6266699999999998</v>
      </c>
      <c r="L32" s="319">
        <v>13.793329999999999</v>
      </c>
      <c r="M32" s="321">
        <v>16.30667</v>
      </c>
      <c r="N32" s="319">
        <v>13.14667</v>
      </c>
      <c r="O32" s="305">
        <v>5.9466700000000001</v>
      </c>
      <c r="P32" s="330">
        <v>-2.23</v>
      </c>
      <c r="Q32" s="284">
        <v>-13.09333</v>
      </c>
      <c r="R32" s="276">
        <v>-23.25</v>
      </c>
      <c r="S32" s="339">
        <v>-2.9466700000000001</v>
      </c>
      <c r="T32" s="3"/>
    </row>
    <row r="33" spans="1:20" ht="76.05" customHeight="1" thickTop="1" thickBot="1" x14ac:dyDescent="0.45">
      <c r="A33" s="261" t="str">
        <f t="shared" si="0"/>
        <v>Буянт-Ухаа</v>
      </c>
      <c r="B33" s="258">
        <v>1271</v>
      </c>
      <c r="C33" s="259">
        <v>47.85</v>
      </c>
      <c r="D33" s="254" t="s">
        <v>94</v>
      </c>
      <c r="E33" s="257" t="s">
        <v>95</v>
      </c>
      <c r="F33" s="250" t="s">
        <v>347</v>
      </c>
      <c r="G33" s="274">
        <v>-25.3</v>
      </c>
      <c r="H33" s="280">
        <v>-19.7</v>
      </c>
      <c r="I33" s="297">
        <v>-8.5</v>
      </c>
      <c r="J33" s="307">
        <v>2.2000000000000002</v>
      </c>
      <c r="K33" s="318">
        <v>9.6999999999999993</v>
      </c>
      <c r="L33" s="321">
        <v>16.3</v>
      </c>
      <c r="M33" s="324">
        <v>18.7</v>
      </c>
      <c r="N33" s="321">
        <v>16.2</v>
      </c>
      <c r="O33" s="318">
        <v>9</v>
      </c>
      <c r="P33" s="302">
        <v>-0.8</v>
      </c>
      <c r="Q33" s="284">
        <v>-13.3</v>
      </c>
      <c r="R33" s="279">
        <v>-22.9</v>
      </c>
      <c r="S33" s="343">
        <v>-1.5</v>
      </c>
      <c r="T33" s="3"/>
    </row>
    <row r="34" spans="1:20" ht="76.05" customHeight="1" thickTop="1" thickBot="1" x14ac:dyDescent="0.45">
      <c r="A34" s="261" t="str">
        <f t="shared" si="0"/>
        <v>奥布卢奇耶</v>
      </c>
      <c r="B34" s="258">
        <v>257</v>
      </c>
      <c r="C34" s="259">
        <v>49</v>
      </c>
      <c r="D34" s="253" t="s">
        <v>93</v>
      </c>
      <c r="E34" s="256" t="s">
        <v>343</v>
      </c>
      <c r="F34" s="249" t="s">
        <v>9</v>
      </c>
      <c r="G34" s="271">
        <v>-24.6</v>
      </c>
      <c r="H34" s="280">
        <v>-19.399999999999999</v>
      </c>
      <c r="I34" s="295">
        <v>-9.1</v>
      </c>
      <c r="J34" s="311">
        <v>3.1</v>
      </c>
      <c r="K34" s="317">
        <v>11.2</v>
      </c>
      <c r="L34" s="321">
        <v>16.8</v>
      </c>
      <c r="M34" s="327">
        <v>20.2</v>
      </c>
      <c r="N34" s="324">
        <v>18.2</v>
      </c>
      <c r="O34" s="317">
        <v>11.4</v>
      </c>
      <c r="P34" s="304">
        <v>1.8</v>
      </c>
      <c r="Q34" s="292">
        <v>-12</v>
      </c>
      <c r="R34" s="276">
        <v>-23</v>
      </c>
      <c r="S34" s="338">
        <v>-0.5</v>
      </c>
      <c r="T34" s="3"/>
    </row>
    <row r="35" spans="1:20" ht="76.05" customHeight="1" thickTop="1" thickBot="1" x14ac:dyDescent="0.45">
      <c r="A35" s="261" t="str">
        <f t="shared" si="0"/>
        <v>Тэрэлж</v>
      </c>
      <c r="B35" s="258">
        <v>1523</v>
      </c>
      <c r="C35" s="259">
        <v>47.99</v>
      </c>
      <c r="D35" s="254" t="s">
        <v>94</v>
      </c>
      <c r="E35" s="257" t="s">
        <v>95</v>
      </c>
      <c r="F35" s="250" t="s">
        <v>348</v>
      </c>
      <c r="G35" s="271">
        <v>-24.5</v>
      </c>
      <c r="H35" s="280">
        <v>-19.8</v>
      </c>
      <c r="I35" s="294">
        <v>-10.8</v>
      </c>
      <c r="J35" s="302">
        <v>-0.4</v>
      </c>
      <c r="K35" s="303">
        <v>6.8</v>
      </c>
      <c r="L35" s="315">
        <v>12.5</v>
      </c>
      <c r="M35" s="313">
        <v>14.8</v>
      </c>
      <c r="N35" s="315">
        <v>12.5</v>
      </c>
      <c r="O35" s="303">
        <v>6</v>
      </c>
      <c r="P35" s="330">
        <v>-2.6</v>
      </c>
      <c r="Q35" s="277">
        <v>-14.1</v>
      </c>
      <c r="R35" s="279">
        <v>-22</v>
      </c>
      <c r="S35" s="337">
        <v>-3.5</v>
      </c>
      <c r="T35" s="3"/>
    </row>
    <row r="36" spans="1:20" ht="76.05" customHeight="1" thickTop="1" thickBot="1" x14ac:dyDescent="0.45">
      <c r="A36" s="261" t="str">
        <f t="shared" si="0"/>
        <v>阿尔泰</v>
      </c>
      <c r="B36" s="258">
        <v>492</v>
      </c>
      <c r="C36" s="259">
        <v>49.72</v>
      </c>
      <c r="D36" s="262" t="s">
        <v>317</v>
      </c>
      <c r="E36" s="263" t="s">
        <v>356</v>
      </c>
      <c r="F36" s="264" t="s">
        <v>333</v>
      </c>
      <c r="G36" s="273">
        <v>-21.84667</v>
      </c>
      <c r="H36" s="285">
        <v>-18.483329999999999</v>
      </c>
      <c r="I36" s="295">
        <v>-9.3566699999999994</v>
      </c>
      <c r="J36" s="329">
        <v>3.74</v>
      </c>
      <c r="K36" s="357">
        <v>12.65333</v>
      </c>
      <c r="L36" s="322">
        <v>17.766670000000001</v>
      </c>
      <c r="M36" s="320">
        <v>19.296669999999999</v>
      </c>
      <c r="N36" s="322">
        <v>17.186669999999999</v>
      </c>
      <c r="O36" s="358">
        <v>10.52333</v>
      </c>
      <c r="P36" s="329">
        <v>3.3166699999999998</v>
      </c>
      <c r="Q36" s="297">
        <v>-8.4933300000000003</v>
      </c>
      <c r="R36" s="332">
        <v>-17.553329999999999</v>
      </c>
      <c r="S36" s="365">
        <v>0.72333000000000003</v>
      </c>
      <c r="T36" s="3"/>
    </row>
    <row r="37" spans="1:20" ht="76.05" customHeight="1" thickTop="1" thickBot="1" x14ac:dyDescent="0.45">
      <c r="A37" s="261" t="str">
        <f t="shared" si="0"/>
        <v>乌兰巴托</v>
      </c>
      <c r="B37" s="258">
        <v>1303</v>
      </c>
      <c r="C37" s="259">
        <v>47.92</v>
      </c>
      <c r="D37" s="254" t="s">
        <v>94</v>
      </c>
      <c r="E37" s="257" t="s">
        <v>95</v>
      </c>
      <c r="F37" s="250" t="s">
        <v>13</v>
      </c>
      <c r="G37" s="273">
        <v>-21.3</v>
      </c>
      <c r="H37" s="287">
        <v>-16.2</v>
      </c>
      <c r="I37" s="299">
        <v>-6.7</v>
      </c>
      <c r="J37" s="329">
        <v>3</v>
      </c>
      <c r="K37" s="358">
        <v>10.3</v>
      </c>
      <c r="L37" s="321">
        <v>16.600000000000001</v>
      </c>
      <c r="M37" s="320">
        <v>19</v>
      </c>
      <c r="N37" s="321">
        <v>16.600000000000001</v>
      </c>
      <c r="O37" s="358">
        <v>10</v>
      </c>
      <c r="P37" s="349">
        <v>0.9</v>
      </c>
      <c r="Q37" s="294">
        <v>-10.6</v>
      </c>
      <c r="R37" s="280">
        <v>-19</v>
      </c>
      <c r="S37" s="365">
        <v>0.2</v>
      </c>
      <c r="T37" s="3"/>
    </row>
    <row r="38" spans="1:20" ht="76.05" customHeight="1" thickTop="1" thickBot="1" x14ac:dyDescent="0.45">
      <c r="A38" s="380" t="str">
        <f t="shared" si="0"/>
        <v>木兰</v>
      </c>
      <c r="B38" s="373">
        <v>117</v>
      </c>
      <c r="C38" s="374">
        <v>45.98</v>
      </c>
      <c r="D38" s="375" t="s">
        <v>92</v>
      </c>
      <c r="E38" s="376" t="s">
        <v>350</v>
      </c>
      <c r="F38" s="377" t="s">
        <v>349</v>
      </c>
      <c r="G38" s="381">
        <v>-20.399999999999999</v>
      </c>
      <c r="H38" s="382">
        <v>-14.8</v>
      </c>
      <c r="I38" s="383">
        <v>-4</v>
      </c>
      <c r="J38" s="384">
        <v>6.8</v>
      </c>
      <c r="K38" s="385">
        <v>14.6</v>
      </c>
      <c r="L38" s="386">
        <v>20.3</v>
      </c>
      <c r="M38" s="387">
        <v>23.2</v>
      </c>
      <c r="N38" s="388">
        <v>21.3</v>
      </c>
      <c r="O38" s="385">
        <v>14.8</v>
      </c>
      <c r="P38" s="389">
        <v>5.7</v>
      </c>
      <c r="Q38" s="390">
        <v>-6.3</v>
      </c>
      <c r="R38" s="391">
        <v>-17.5</v>
      </c>
      <c r="S38" s="392">
        <v>3.6</v>
      </c>
      <c r="T38" s="3"/>
    </row>
    <row r="39" spans="1:20" ht="76.05" customHeight="1" thickTop="1" thickBot="1" x14ac:dyDescent="0.45">
      <c r="A39" s="379" t="str">
        <f t="shared" si="0"/>
        <v>三池渊</v>
      </c>
      <c r="B39" s="393">
        <v>1381</v>
      </c>
      <c r="C39" s="374">
        <v>41.82</v>
      </c>
      <c r="D39" s="394" t="s">
        <v>357</v>
      </c>
      <c r="E39" s="395" t="s">
        <v>359</v>
      </c>
      <c r="F39" s="396" t="s">
        <v>358</v>
      </c>
      <c r="G39" s="397">
        <v>-16.96</v>
      </c>
      <c r="H39" s="398">
        <v>-13.72</v>
      </c>
      <c r="I39" s="399">
        <v>-7.2566699999999997</v>
      </c>
      <c r="J39" s="400">
        <v>1.42</v>
      </c>
      <c r="K39" s="401">
        <v>8.4366699999999994</v>
      </c>
      <c r="L39" s="402">
        <v>13.19</v>
      </c>
      <c r="M39" s="403">
        <v>16.726669999999999</v>
      </c>
      <c r="N39" s="403">
        <v>16.059999999999999</v>
      </c>
      <c r="O39" s="404">
        <v>9.94</v>
      </c>
      <c r="P39" s="405">
        <v>2.5233300000000001</v>
      </c>
      <c r="Q39" s="406">
        <v>-6.6433299999999997</v>
      </c>
      <c r="R39" s="407">
        <v>-14.716670000000001</v>
      </c>
      <c r="S39" s="408">
        <v>0.76</v>
      </c>
      <c r="T39" s="409"/>
    </row>
    <row r="40" spans="1:20" ht="76.05" customHeight="1" thickTop="1" thickBot="1" x14ac:dyDescent="0.45">
      <c r="A40" s="378"/>
      <c r="B40" s="528" t="s">
        <v>364</v>
      </c>
      <c r="C40" s="529"/>
      <c r="D40" s="529"/>
      <c r="E40" s="529"/>
      <c r="F40" s="529"/>
      <c r="G40" s="529"/>
      <c r="H40" s="529"/>
      <c r="I40" s="529"/>
      <c r="J40" s="529"/>
      <c r="K40" s="529"/>
      <c r="L40" s="529"/>
      <c r="M40" s="529"/>
      <c r="N40" s="529"/>
      <c r="O40" s="529"/>
      <c r="P40" s="529"/>
      <c r="Q40" s="529"/>
      <c r="R40" s="529"/>
      <c r="S40" s="530"/>
      <c r="T40" s="409"/>
    </row>
    <row r="41" spans="1:20" ht="35.25" thickTop="1" x14ac:dyDescent="0.4"/>
  </sheetData>
  <autoFilter ref="A2:A40" xr:uid="{8621854E-1E06-41E1-805B-B7EDA0B6D313}">
    <filterColumn colId="0">
      <filters blank="1">
        <filter val="Буянт-Ухаа"/>
        <filter val="Тэрэлж"/>
        <filter val="阿尔泰"/>
        <filter val="埃尔津"/>
        <filter val="埃基姆昌"/>
        <filter val="奥布卢奇耶"/>
        <filter val="巴尔古津"/>
        <filter val="巴彦特斯"/>
        <filter val="巴音布鲁克"/>
        <filter val="布鲁坎"/>
        <filter val="车臣乌拉"/>
        <filter val="东戈壁"/>
        <filter val="鄂特冈"/>
        <filter val="古尔班布拉格"/>
        <filter val="卡丘格"/>
        <filter val="科什阿加奇"/>
        <filter val="克孜勒"/>
        <filter val="莫戈恰"/>
        <filter val="漠河"/>
        <filter val="木兰"/>
        <filter val="切昆达"/>
        <filter val="仁钦隆勃"/>
        <filter val="萨雷格谢普"/>
        <filter val="三池渊"/>
        <filter val="索菲斯克"/>
        <filter val="特斯"/>
        <filter val="通戈科琴"/>
        <filter val="图里河"/>
        <filter val="托拉赫姆"/>
        <filter val="托孙臣格勒"/>
        <filter val="乌兰巴托"/>
        <filter val="乌兰固木"/>
        <filter val="乌留皮诺"/>
        <filter val="乌斯季卡连加"/>
        <filter val="尧勒"/>
      </filters>
    </filterColumn>
  </autoFilter>
  <sortState xmlns:xlrd2="http://schemas.microsoft.com/office/spreadsheetml/2017/richdata2" ref="A3:S39">
    <sortCondition ref="G3:G39"/>
    <sortCondition ref="C3:C39"/>
  </sortState>
  <mergeCells count="3">
    <mergeCell ref="G1:S1"/>
    <mergeCell ref="B1:F1"/>
    <mergeCell ref="B40:S4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5D51-1D27-4862-AEFB-881E96EA9B7D}">
  <sheetPr codeName="Sheet2"/>
  <dimension ref="A1:S22"/>
  <sheetViews>
    <sheetView workbookViewId="0">
      <selection sqref="A1:R1"/>
    </sheetView>
  </sheetViews>
  <sheetFormatPr defaultRowHeight="13.9" x14ac:dyDescent="0.4"/>
  <cols>
    <col min="1" max="1" width="10.59765625" customWidth="1"/>
    <col min="2" max="2" width="9.06640625" style="1"/>
    <col min="3" max="3" width="12.59765625" customWidth="1"/>
    <col min="4" max="5" width="16.59765625" customWidth="1"/>
    <col min="6" max="6" width="1.59765625" customWidth="1"/>
    <col min="7" max="12" width="9.6640625" bestFit="1" customWidth="1"/>
    <col min="13" max="14" width="9.1328125" bestFit="1" customWidth="1"/>
    <col min="15" max="18" width="9.6640625" bestFit="1" customWidth="1"/>
  </cols>
  <sheetData>
    <row r="1" spans="1:19" ht="82.05" customHeight="1" thickTop="1" thickBot="1" x14ac:dyDescent="0.45">
      <c r="A1" s="532" t="s">
        <v>91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</row>
    <row r="2" spans="1:19" s="1" customFormat="1" ht="48" customHeight="1" thickTop="1" thickBot="1" x14ac:dyDescent="0.45">
      <c r="A2" s="6" t="s">
        <v>20</v>
      </c>
      <c r="B2" s="6" t="s">
        <v>21</v>
      </c>
      <c r="C2" s="531" t="s">
        <v>22</v>
      </c>
      <c r="D2" s="531"/>
      <c r="E2" s="7" t="s">
        <v>51</v>
      </c>
      <c r="F2" s="534"/>
      <c r="G2" s="6" t="s">
        <v>23</v>
      </c>
      <c r="H2" s="6" t="s">
        <v>24</v>
      </c>
      <c r="I2" s="6" t="s">
        <v>25</v>
      </c>
      <c r="J2" s="6" t="s">
        <v>26</v>
      </c>
      <c r="K2" s="6" t="s">
        <v>27</v>
      </c>
      <c r="L2" s="6" t="s">
        <v>28</v>
      </c>
      <c r="M2" s="6" t="s">
        <v>29</v>
      </c>
      <c r="N2" s="6" t="s">
        <v>30</v>
      </c>
      <c r="O2" s="6" t="s">
        <v>31</v>
      </c>
      <c r="P2" s="6" t="s">
        <v>32</v>
      </c>
      <c r="Q2" s="6" t="s">
        <v>33</v>
      </c>
      <c r="R2" s="6" t="s">
        <v>34</v>
      </c>
      <c r="S2" s="1" t="s">
        <v>52</v>
      </c>
    </row>
    <row r="3" spans="1:19" ht="48" customHeight="1" thickTop="1" thickBot="1" x14ac:dyDescent="0.45">
      <c r="A3" s="8" t="s">
        <v>35</v>
      </c>
      <c r="B3" s="5" t="s">
        <v>83</v>
      </c>
      <c r="C3" s="9" t="s">
        <v>64</v>
      </c>
      <c r="D3" s="10" t="s">
        <v>65</v>
      </c>
      <c r="E3" s="11">
        <v>-52.6</v>
      </c>
      <c r="F3" s="535"/>
      <c r="G3" s="12">
        <v>-52.6</v>
      </c>
      <c r="H3" s="13">
        <v>-46.5</v>
      </c>
      <c r="I3" s="13">
        <v>-39.1</v>
      </c>
      <c r="J3" s="13">
        <v>-24</v>
      </c>
      <c r="K3" s="14">
        <v>-21.7</v>
      </c>
      <c r="L3" s="15">
        <v>-4.4000000000000004</v>
      </c>
      <c r="M3" s="16">
        <v>-1</v>
      </c>
      <c r="N3" s="17">
        <v>-4.8</v>
      </c>
      <c r="O3" s="15">
        <v>-11.6</v>
      </c>
      <c r="P3" s="16">
        <v>-27.5</v>
      </c>
      <c r="Q3" s="15">
        <v>-36</v>
      </c>
      <c r="R3" s="13">
        <v>-47</v>
      </c>
      <c r="S3" s="4">
        <v>1</v>
      </c>
    </row>
    <row r="4" spans="1:19" ht="48" customHeight="1" thickTop="1" thickBot="1" x14ac:dyDescent="0.45">
      <c r="A4" s="8" t="s">
        <v>89</v>
      </c>
      <c r="B4" s="5" t="s">
        <v>90</v>
      </c>
      <c r="C4" s="9" t="s">
        <v>66</v>
      </c>
      <c r="D4" s="18" t="s">
        <v>67</v>
      </c>
      <c r="E4" s="19">
        <v>-51.3</v>
      </c>
      <c r="F4" s="535"/>
      <c r="G4" s="16">
        <v>-51.3</v>
      </c>
      <c r="H4" s="13">
        <v>-45.6</v>
      </c>
      <c r="I4" s="13">
        <v>-38.700000000000003</v>
      </c>
      <c r="J4" s="15">
        <v>-26.4</v>
      </c>
      <c r="K4" s="20">
        <v>-13.2</v>
      </c>
      <c r="L4" s="21">
        <v>-8.3000000000000007</v>
      </c>
      <c r="M4" s="17">
        <v>-2.5</v>
      </c>
      <c r="N4" s="16">
        <v>-3.2</v>
      </c>
      <c r="O4" s="16">
        <v>-12.8</v>
      </c>
      <c r="P4" s="12">
        <v>-32</v>
      </c>
      <c r="Q4" s="16">
        <v>-40</v>
      </c>
      <c r="R4" s="20">
        <v>-48.4</v>
      </c>
      <c r="S4" s="4">
        <v>2</v>
      </c>
    </row>
    <row r="5" spans="1:19" ht="48" customHeight="1" thickTop="1" thickBot="1" x14ac:dyDescent="0.45">
      <c r="A5" s="8" t="s">
        <v>44</v>
      </c>
      <c r="B5" s="5" t="s">
        <v>50</v>
      </c>
      <c r="C5" s="9" t="s">
        <v>66</v>
      </c>
      <c r="D5" s="18" t="s">
        <v>68</v>
      </c>
      <c r="E5" s="22">
        <v>-53.3</v>
      </c>
      <c r="F5" s="535"/>
      <c r="G5" s="23">
        <v>-53.3</v>
      </c>
      <c r="H5" s="12">
        <v>-50.9</v>
      </c>
      <c r="I5" s="16">
        <v>-42</v>
      </c>
      <c r="J5" s="16">
        <v>-29.1</v>
      </c>
      <c r="K5" s="12">
        <v>-15.5</v>
      </c>
      <c r="L5" s="20">
        <v>-6</v>
      </c>
      <c r="M5" s="21">
        <v>-3.4</v>
      </c>
      <c r="N5" s="12">
        <v>-6</v>
      </c>
      <c r="O5" s="23">
        <v>-19.7</v>
      </c>
      <c r="P5" s="23">
        <v>-34.4</v>
      </c>
      <c r="Q5" s="23">
        <v>-44.2</v>
      </c>
      <c r="R5" s="23">
        <v>-51</v>
      </c>
      <c r="S5" s="4">
        <v>3</v>
      </c>
    </row>
    <row r="6" spans="1:19" ht="48" customHeight="1" thickTop="1" thickBot="1" x14ac:dyDescent="0.45">
      <c r="A6" s="8" t="s">
        <v>36</v>
      </c>
      <c r="B6" s="5" t="s">
        <v>45</v>
      </c>
      <c r="C6" s="9" t="s">
        <v>66</v>
      </c>
      <c r="D6" s="10" t="s">
        <v>69</v>
      </c>
      <c r="E6" s="24">
        <v>-50.4</v>
      </c>
      <c r="F6" s="535"/>
      <c r="G6" s="13">
        <v>-50.4</v>
      </c>
      <c r="H6" s="16">
        <v>-48.1</v>
      </c>
      <c r="I6" s="20">
        <v>-42.3</v>
      </c>
      <c r="J6" s="21">
        <v>-35.5</v>
      </c>
      <c r="K6" s="21">
        <v>-17.5</v>
      </c>
      <c r="L6" s="17">
        <v>-6.8</v>
      </c>
      <c r="M6" s="12">
        <v>-3.1</v>
      </c>
      <c r="N6" s="23">
        <v>-7.8</v>
      </c>
      <c r="O6" s="12">
        <v>-15</v>
      </c>
      <c r="P6" s="14">
        <v>-35.6</v>
      </c>
      <c r="Q6" s="23">
        <v>-44.3</v>
      </c>
      <c r="R6" s="16">
        <v>-48.1</v>
      </c>
      <c r="S6" s="4">
        <v>4</v>
      </c>
    </row>
    <row r="7" spans="1:19" ht="48" customHeight="1" thickTop="1" thickBot="1" x14ac:dyDescent="0.45">
      <c r="A7" s="8" t="s">
        <v>43</v>
      </c>
      <c r="B7" s="5" t="s">
        <v>84</v>
      </c>
      <c r="C7" s="9" t="s">
        <v>70</v>
      </c>
      <c r="D7" s="10" t="s">
        <v>71</v>
      </c>
      <c r="E7" s="19">
        <v>-51.3</v>
      </c>
      <c r="F7" s="535"/>
      <c r="G7" s="13">
        <v>-50.3</v>
      </c>
      <c r="H7" s="21">
        <v>-51.3</v>
      </c>
      <c r="I7" s="17">
        <v>-43</v>
      </c>
      <c r="J7" s="17">
        <v>-31.8</v>
      </c>
      <c r="K7" s="15">
        <v>-10</v>
      </c>
      <c r="L7" s="13">
        <v>-2.4</v>
      </c>
      <c r="M7" s="13">
        <v>5</v>
      </c>
      <c r="N7" s="15">
        <v>-2.4</v>
      </c>
      <c r="O7" s="13">
        <v>-8.8000000000000007</v>
      </c>
      <c r="P7" s="15">
        <v>-27.1</v>
      </c>
      <c r="Q7" s="14">
        <v>-44.5</v>
      </c>
      <c r="R7" s="23">
        <v>-50.9</v>
      </c>
      <c r="S7" s="4">
        <v>5</v>
      </c>
    </row>
    <row r="8" spans="1:19" ht="48" customHeight="1" thickTop="1" thickBot="1" x14ac:dyDescent="0.45">
      <c r="A8" s="8" t="s">
        <v>39</v>
      </c>
      <c r="B8" s="5" t="s">
        <v>47</v>
      </c>
      <c r="C8" s="9" t="s">
        <v>70</v>
      </c>
      <c r="D8" s="10" t="s">
        <v>72</v>
      </c>
      <c r="E8" s="25">
        <v>-50.7</v>
      </c>
      <c r="F8" s="535"/>
      <c r="G8" s="15">
        <v>-50.7</v>
      </c>
      <c r="H8" s="17">
        <v>-50.5</v>
      </c>
      <c r="I8" s="15">
        <v>-41.6</v>
      </c>
      <c r="J8" s="16">
        <v>-28.4</v>
      </c>
      <c r="K8" s="13">
        <v>-8.8000000000000007</v>
      </c>
      <c r="L8" s="13">
        <v>-0.8</v>
      </c>
      <c r="M8" s="15">
        <v>0</v>
      </c>
      <c r="N8" s="13">
        <v>-0.6</v>
      </c>
      <c r="O8" s="13">
        <v>-8</v>
      </c>
      <c r="P8" s="13">
        <v>-19.100000000000001</v>
      </c>
      <c r="Q8" s="13">
        <v>-34.1</v>
      </c>
      <c r="R8" s="17">
        <v>-49.5</v>
      </c>
      <c r="S8" s="4">
        <v>6</v>
      </c>
    </row>
    <row r="9" spans="1:19" ht="48" customHeight="1" thickTop="1" thickBot="1" x14ac:dyDescent="0.45">
      <c r="A9" s="8" t="s">
        <v>80</v>
      </c>
      <c r="B9" s="5" t="s">
        <v>85</v>
      </c>
      <c r="C9" s="9" t="s">
        <v>73</v>
      </c>
      <c r="D9" s="10" t="s">
        <v>72</v>
      </c>
      <c r="E9" s="24">
        <v>-50.4</v>
      </c>
      <c r="F9" s="535"/>
      <c r="G9" s="13">
        <v>-50.4</v>
      </c>
      <c r="H9" s="16">
        <v>-48.9</v>
      </c>
      <c r="I9" s="17">
        <v>-43.5</v>
      </c>
      <c r="J9" s="20">
        <v>-30.8</v>
      </c>
      <c r="K9" s="20">
        <v>-12.9</v>
      </c>
      <c r="L9" s="16">
        <v>-5.3</v>
      </c>
      <c r="M9" s="15">
        <v>-0.4</v>
      </c>
      <c r="N9" s="21">
        <v>-7.2</v>
      </c>
      <c r="O9" s="20">
        <v>-13.4</v>
      </c>
      <c r="P9" s="23">
        <v>-34.1</v>
      </c>
      <c r="Q9" s="16">
        <v>-41.1</v>
      </c>
      <c r="R9" s="15">
        <v>-47.6</v>
      </c>
      <c r="S9" s="4">
        <v>7</v>
      </c>
    </row>
    <row r="10" spans="1:19" ht="48" customHeight="1" thickTop="1" thickBot="1" x14ac:dyDescent="0.45">
      <c r="A10" s="8" t="s">
        <v>40</v>
      </c>
      <c r="B10" s="5" t="s">
        <v>86</v>
      </c>
      <c r="C10" s="9" t="s">
        <v>73</v>
      </c>
      <c r="D10" s="10" t="s">
        <v>74</v>
      </c>
      <c r="E10" s="26">
        <v>-51.9</v>
      </c>
      <c r="F10" s="535"/>
      <c r="G10" s="20">
        <v>-51.9</v>
      </c>
      <c r="H10" s="17">
        <v>-50.6</v>
      </c>
      <c r="I10" s="21">
        <v>-48.2</v>
      </c>
      <c r="J10" s="12">
        <v>-33.1</v>
      </c>
      <c r="K10" s="17">
        <v>-14.9</v>
      </c>
      <c r="L10" s="12">
        <v>-7.6</v>
      </c>
      <c r="M10" s="23">
        <v>-3.9</v>
      </c>
      <c r="N10" s="21">
        <v>-7.4</v>
      </c>
      <c r="O10" s="21">
        <v>-16.2</v>
      </c>
      <c r="P10" s="21">
        <v>-33.4</v>
      </c>
      <c r="Q10" s="23">
        <v>-44.4</v>
      </c>
      <c r="R10" s="21">
        <v>-50.6</v>
      </c>
      <c r="S10" s="4">
        <v>8</v>
      </c>
    </row>
    <row r="11" spans="1:19" ht="48" customHeight="1" thickTop="1" thickBot="1" x14ac:dyDescent="0.45">
      <c r="A11" s="8" t="s">
        <v>81</v>
      </c>
      <c r="B11" s="5" t="s">
        <v>88</v>
      </c>
      <c r="C11" s="9" t="s">
        <v>73</v>
      </c>
      <c r="D11" s="10" t="s">
        <v>75</v>
      </c>
      <c r="E11" s="25">
        <v>-50.6</v>
      </c>
      <c r="F11" s="535"/>
      <c r="G11" s="15">
        <v>-50.6</v>
      </c>
      <c r="H11" s="15">
        <v>-47.8</v>
      </c>
      <c r="I11" s="20">
        <v>-42.4</v>
      </c>
      <c r="J11" s="13">
        <v>-24.4</v>
      </c>
      <c r="K11" s="12">
        <v>-15.5</v>
      </c>
      <c r="L11" s="17">
        <v>-6.8</v>
      </c>
      <c r="M11" s="16">
        <v>-0.9</v>
      </c>
      <c r="N11" s="16">
        <v>-3.1</v>
      </c>
      <c r="O11" s="17">
        <v>-14.6</v>
      </c>
      <c r="P11" s="20">
        <v>-29</v>
      </c>
      <c r="Q11" s="17">
        <v>-42.6</v>
      </c>
      <c r="R11" s="21">
        <v>-50.4</v>
      </c>
      <c r="S11" s="4">
        <v>9</v>
      </c>
    </row>
    <row r="12" spans="1:19" ht="48" customHeight="1" thickTop="1" thickBot="1" x14ac:dyDescent="0.45">
      <c r="A12" s="8" t="s">
        <v>38</v>
      </c>
      <c r="B12" s="5" t="s">
        <v>46</v>
      </c>
      <c r="C12" s="9" t="s">
        <v>73</v>
      </c>
      <c r="D12" s="27" t="s">
        <v>76</v>
      </c>
      <c r="E12" s="28">
        <v>-52.9</v>
      </c>
      <c r="F12" s="535"/>
      <c r="G12" s="21">
        <v>-52.9</v>
      </c>
      <c r="H12" s="12">
        <v>-50.9</v>
      </c>
      <c r="I12" s="23">
        <v>-49.5</v>
      </c>
      <c r="J12" s="20">
        <v>-30.5</v>
      </c>
      <c r="K12" s="17">
        <v>-15.2</v>
      </c>
      <c r="L12" s="21">
        <v>-8</v>
      </c>
      <c r="M12" s="20">
        <v>-1.9</v>
      </c>
      <c r="N12" s="17">
        <v>-5.2</v>
      </c>
      <c r="O12" s="17">
        <v>-14.2</v>
      </c>
      <c r="P12" s="12">
        <v>-32.200000000000003</v>
      </c>
      <c r="Q12" s="20">
        <v>-42.5</v>
      </c>
      <c r="R12" s="14">
        <v>-51.6</v>
      </c>
      <c r="S12" s="4">
        <v>10</v>
      </c>
    </row>
    <row r="13" spans="1:19" ht="48" customHeight="1" thickTop="1" thickBot="1" x14ac:dyDescent="0.45">
      <c r="A13" s="8" t="s">
        <v>41</v>
      </c>
      <c r="B13" s="5" t="s">
        <v>48</v>
      </c>
      <c r="C13" s="9" t="s">
        <v>73</v>
      </c>
      <c r="D13" s="10" t="s">
        <v>77</v>
      </c>
      <c r="E13" s="29">
        <v>-54.7</v>
      </c>
      <c r="F13" s="535"/>
      <c r="G13" s="23">
        <v>-53.2</v>
      </c>
      <c r="H13" s="14">
        <v>-54.7</v>
      </c>
      <c r="I13" s="14">
        <v>-54.2</v>
      </c>
      <c r="J13" s="23">
        <v>-40</v>
      </c>
      <c r="K13" s="23">
        <v>-21.5</v>
      </c>
      <c r="L13" s="14">
        <v>-10</v>
      </c>
      <c r="M13" s="14">
        <v>-5</v>
      </c>
      <c r="N13" s="14">
        <v>-8</v>
      </c>
      <c r="O13" s="14">
        <v>-22.8</v>
      </c>
      <c r="P13" s="23">
        <v>-34.5</v>
      </c>
      <c r="Q13" s="12">
        <v>-43.2</v>
      </c>
      <c r="R13" s="12">
        <v>-50</v>
      </c>
      <c r="S13" s="4">
        <v>11</v>
      </c>
    </row>
    <row r="14" spans="1:19" ht="48" customHeight="1" thickTop="1" thickBot="1" x14ac:dyDescent="0.45">
      <c r="A14" s="8" t="s">
        <v>82</v>
      </c>
      <c r="B14" s="5" t="s">
        <v>87</v>
      </c>
      <c r="C14" s="9" t="s">
        <v>73</v>
      </c>
      <c r="D14" s="10" t="s">
        <v>78</v>
      </c>
      <c r="E14" s="19">
        <v>-51.2</v>
      </c>
      <c r="F14" s="535"/>
      <c r="G14" s="16">
        <v>-51.2</v>
      </c>
      <c r="H14" s="20">
        <v>-49.9</v>
      </c>
      <c r="I14" s="16">
        <v>-42</v>
      </c>
      <c r="J14" s="15">
        <v>-27.1</v>
      </c>
      <c r="K14" s="16">
        <v>-12.4</v>
      </c>
      <c r="L14" s="16">
        <v>-5.4</v>
      </c>
      <c r="M14" s="20">
        <v>-2.1</v>
      </c>
      <c r="N14" s="20">
        <v>-4.2</v>
      </c>
      <c r="O14" s="21">
        <v>-15.7</v>
      </c>
      <c r="P14" s="17">
        <v>-31.4</v>
      </c>
      <c r="Q14" s="20">
        <v>-42</v>
      </c>
      <c r="R14" s="12">
        <v>-49.9</v>
      </c>
      <c r="S14" s="4">
        <v>12</v>
      </c>
    </row>
    <row r="15" spans="1:19" ht="48" customHeight="1" thickTop="1" thickBot="1" x14ac:dyDescent="0.45">
      <c r="A15" s="8" t="s">
        <v>42</v>
      </c>
      <c r="B15" s="5" t="s">
        <v>49</v>
      </c>
      <c r="C15" s="9" t="s">
        <v>73</v>
      </c>
      <c r="D15" s="10" t="s">
        <v>79</v>
      </c>
      <c r="E15" s="30">
        <v>-55.3</v>
      </c>
      <c r="F15" s="536"/>
      <c r="G15" s="14">
        <v>-55.3</v>
      </c>
      <c r="H15" s="23">
        <v>-54.2</v>
      </c>
      <c r="I15" s="12">
        <v>-47.4</v>
      </c>
      <c r="J15" s="14">
        <v>-41.6</v>
      </c>
      <c r="K15" s="21">
        <v>-17.2</v>
      </c>
      <c r="L15" s="23">
        <v>-9.3000000000000007</v>
      </c>
      <c r="M15" s="12">
        <v>-3</v>
      </c>
      <c r="N15" s="21">
        <v>-7</v>
      </c>
      <c r="O15" s="21">
        <v>-15.8</v>
      </c>
      <c r="P15" s="12">
        <v>-32</v>
      </c>
      <c r="Q15" s="21">
        <v>-43.9</v>
      </c>
      <c r="R15" s="23">
        <v>-51</v>
      </c>
      <c r="S15" s="4">
        <v>13</v>
      </c>
    </row>
    <row r="16" spans="1:19" ht="32" customHeight="1" thickTop="1" x14ac:dyDescent="0.4"/>
    <row r="17" ht="32" customHeight="1" x14ac:dyDescent="0.4"/>
    <row r="18" ht="32" customHeight="1" x14ac:dyDescent="0.4"/>
    <row r="19" ht="32" customHeight="1" x14ac:dyDescent="0.4"/>
    <row r="20" ht="32" customHeight="1" x14ac:dyDescent="0.4"/>
    <row r="21" ht="32" customHeight="1" x14ac:dyDescent="0.4"/>
    <row r="22" ht="32" customHeight="1" x14ac:dyDescent="0.4"/>
  </sheetData>
  <sortState xmlns:xlrd2="http://schemas.microsoft.com/office/spreadsheetml/2017/richdata2" ref="C3:S15">
    <sortCondition ref="S3:S15"/>
  </sortState>
  <mergeCells count="3">
    <mergeCell ref="C2:D2"/>
    <mergeCell ref="A1:R1"/>
    <mergeCell ref="F2:F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4F37C-45A0-410A-800E-3311AD044CC9}">
  <sheetPr codeName="Sheet3"/>
  <dimension ref="A1:R22"/>
  <sheetViews>
    <sheetView zoomScaleNormal="100" workbookViewId="0">
      <selection sqref="A1:Q1"/>
    </sheetView>
  </sheetViews>
  <sheetFormatPr defaultRowHeight="13.9" x14ac:dyDescent="0.4"/>
  <cols>
    <col min="1" max="1" width="14.59765625" customWidth="1"/>
    <col min="2" max="2" width="14.59765625" style="1" customWidth="1"/>
    <col min="3" max="3" width="17.59765625" customWidth="1"/>
    <col min="4" max="4" width="18.59765625" customWidth="1"/>
    <col min="5" max="16" width="12.59765625" customWidth="1"/>
    <col min="17" max="17" width="16.59765625" customWidth="1"/>
  </cols>
  <sheetData>
    <row r="1" spans="1:18" ht="180" customHeight="1" thickTop="1" thickBot="1" x14ac:dyDescent="0.45">
      <c r="A1" s="532" t="s">
        <v>131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8"/>
    </row>
    <row r="2" spans="1:18" s="1" customFormat="1" ht="100.05" customHeight="1" thickTop="1" thickBot="1" x14ac:dyDescent="0.45">
      <c r="A2" s="43" t="s">
        <v>129</v>
      </c>
      <c r="B2" s="43" t="s">
        <v>130</v>
      </c>
      <c r="C2" s="537" t="s">
        <v>22</v>
      </c>
      <c r="D2" s="537"/>
      <c r="E2" s="48" t="s">
        <v>117</v>
      </c>
      <c r="F2" s="48" t="s">
        <v>118</v>
      </c>
      <c r="G2" s="48" t="s">
        <v>119</v>
      </c>
      <c r="H2" s="48" t="s">
        <v>120</v>
      </c>
      <c r="I2" s="48" t="s">
        <v>121</v>
      </c>
      <c r="J2" s="48" t="s">
        <v>122</v>
      </c>
      <c r="K2" s="48" t="s">
        <v>123</v>
      </c>
      <c r="L2" s="48" t="s">
        <v>124</v>
      </c>
      <c r="M2" s="48" t="s">
        <v>125</v>
      </c>
      <c r="N2" s="48" t="s">
        <v>126</v>
      </c>
      <c r="O2" s="49" t="s">
        <v>127</v>
      </c>
      <c r="P2" s="49" t="s">
        <v>128</v>
      </c>
      <c r="Q2" s="50" t="s">
        <v>51</v>
      </c>
    </row>
    <row r="3" spans="1:18" ht="72" customHeight="1" thickTop="1" thickBot="1" x14ac:dyDescent="0.45">
      <c r="A3" s="37" t="s">
        <v>36</v>
      </c>
      <c r="B3" s="38" t="s">
        <v>45</v>
      </c>
      <c r="C3" s="41" t="s">
        <v>66</v>
      </c>
      <c r="D3" s="44" t="s">
        <v>69</v>
      </c>
      <c r="E3" s="84">
        <v>-4.5</v>
      </c>
      <c r="F3" s="77">
        <v>1.9</v>
      </c>
      <c r="G3" s="78">
        <v>13.5</v>
      </c>
      <c r="H3" s="79">
        <v>23.7</v>
      </c>
      <c r="I3" s="79">
        <v>28.3</v>
      </c>
      <c r="J3" s="79">
        <v>30.4</v>
      </c>
      <c r="K3" s="78">
        <v>34.9</v>
      </c>
      <c r="L3" s="80">
        <v>31.5</v>
      </c>
      <c r="M3" s="81">
        <v>29.2</v>
      </c>
      <c r="N3" s="78">
        <v>21.6</v>
      </c>
      <c r="O3" s="79">
        <v>5.3</v>
      </c>
      <c r="P3" s="82">
        <v>2.2000000000000002</v>
      </c>
      <c r="Q3" s="83">
        <v>34.9</v>
      </c>
      <c r="R3" s="4"/>
    </row>
    <row r="4" spans="1:18" ht="72" customHeight="1" thickTop="1" thickBot="1" x14ac:dyDescent="0.45">
      <c r="A4" s="37" t="s">
        <v>44</v>
      </c>
      <c r="B4" s="38" t="s">
        <v>50</v>
      </c>
      <c r="C4" s="41" t="s">
        <v>66</v>
      </c>
      <c r="D4" s="44" t="s">
        <v>68</v>
      </c>
      <c r="E4" s="85">
        <v>-7.8</v>
      </c>
      <c r="F4" s="52">
        <v>-2.6</v>
      </c>
      <c r="G4" s="53">
        <v>11.5</v>
      </c>
      <c r="H4" s="54">
        <v>24.2</v>
      </c>
      <c r="I4" s="57">
        <v>40.6</v>
      </c>
      <c r="J4" s="52">
        <v>33</v>
      </c>
      <c r="K4" s="53">
        <v>33.200000000000003</v>
      </c>
      <c r="L4" s="56">
        <v>36.5</v>
      </c>
      <c r="M4" s="53">
        <v>26.9</v>
      </c>
      <c r="N4" s="53">
        <v>20.6</v>
      </c>
      <c r="O4" s="95">
        <v>4.4000000000000004</v>
      </c>
      <c r="P4" s="52">
        <v>-3.5</v>
      </c>
      <c r="Q4" s="61">
        <v>40.6</v>
      </c>
      <c r="R4" s="4"/>
    </row>
    <row r="5" spans="1:18" ht="72" customHeight="1" thickTop="1" thickBot="1" x14ac:dyDescent="0.45">
      <c r="A5" s="37" t="s">
        <v>102</v>
      </c>
      <c r="B5" s="38" t="s">
        <v>107</v>
      </c>
      <c r="C5" s="41" t="s">
        <v>66</v>
      </c>
      <c r="D5" s="45" t="s">
        <v>96</v>
      </c>
      <c r="E5" s="86">
        <v>1</v>
      </c>
      <c r="F5" s="56">
        <v>2.6</v>
      </c>
      <c r="G5" s="52">
        <v>13.2</v>
      </c>
      <c r="H5" s="54">
        <v>24.2</v>
      </c>
      <c r="I5" s="53">
        <v>28.9</v>
      </c>
      <c r="J5" s="53">
        <v>30.5</v>
      </c>
      <c r="K5" s="54">
        <v>33.700000000000003</v>
      </c>
      <c r="L5" s="53">
        <v>30.9</v>
      </c>
      <c r="M5" s="54">
        <v>28.1</v>
      </c>
      <c r="N5" s="56">
        <v>23.1</v>
      </c>
      <c r="O5" s="54">
        <v>8.4</v>
      </c>
      <c r="P5" s="59">
        <v>4</v>
      </c>
      <c r="Q5" s="62">
        <v>33.700000000000003</v>
      </c>
      <c r="R5" s="4"/>
    </row>
    <row r="6" spans="1:18" ht="72" customHeight="1" thickTop="1" thickBot="1" x14ac:dyDescent="0.45">
      <c r="A6" s="37" t="s">
        <v>105</v>
      </c>
      <c r="B6" s="38" t="s">
        <v>112</v>
      </c>
      <c r="C6" s="41" t="s">
        <v>70</v>
      </c>
      <c r="D6" s="45" t="s">
        <v>97</v>
      </c>
      <c r="E6" s="87">
        <v>4.9000000000000004</v>
      </c>
      <c r="F6" s="58">
        <v>4.9000000000000004</v>
      </c>
      <c r="G6" s="58">
        <v>17.600000000000001</v>
      </c>
      <c r="H6" s="59">
        <v>28.4</v>
      </c>
      <c r="I6" s="52">
        <v>31.5</v>
      </c>
      <c r="J6" s="56">
        <v>35.700000000000003</v>
      </c>
      <c r="K6" s="59">
        <v>38.6</v>
      </c>
      <c r="L6" s="51">
        <v>35.799999999999997</v>
      </c>
      <c r="M6" s="58">
        <v>33.5</v>
      </c>
      <c r="N6" s="59">
        <v>23.9</v>
      </c>
      <c r="O6" s="58">
        <v>13.5</v>
      </c>
      <c r="P6" s="57">
        <v>6.5</v>
      </c>
      <c r="Q6" s="63">
        <v>38.6</v>
      </c>
      <c r="R6" s="4"/>
    </row>
    <row r="7" spans="1:18" ht="72" customHeight="1" thickTop="1" thickBot="1" x14ac:dyDescent="0.45">
      <c r="A7" s="37" t="s">
        <v>103</v>
      </c>
      <c r="B7" s="38" t="s">
        <v>110</v>
      </c>
      <c r="C7" s="41" t="s">
        <v>70</v>
      </c>
      <c r="D7" s="45" t="s">
        <v>98</v>
      </c>
      <c r="E7" s="88">
        <v>-5.9</v>
      </c>
      <c r="F7" s="59">
        <v>3.5</v>
      </c>
      <c r="G7" s="57">
        <v>18.8</v>
      </c>
      <c r="H7" s="55">
        <v>25.7</v>
      </c>
      <c r="I7" s="53">
        <v>28.7</v>
      </c>
      <c r="J7" s="55">
        <v>34.200000000000003</v>
      </c>
      <c r="K7" s="51">
        <v>36.5</v>
      </c>
      <c r="L7" s="55">
        <v>34.5</v>
      </c>
      <c r="M7" s="55">
        <v>29.2</v>
      </c>
      <c r="N7" s="58">
        <v>24.5</v>
      </c>
      <c r="O7" s="55">
        <v>9.6999999999999993</v>
      </c>
      <c r="P7" s="59">
        <v>3.5</v>
      </c>
      <c r="Q7" s="64">
        <v>36.5</v>
      </c>
      <c r="R7" s="4"/>
    </row>
    <row r="8" spans="1:18" ht="72" customHeight="1" thickTop="1" thickBot="1" x14ac:dyDescent="0.45">
      <c r="A8" s="37" t="s">
        <v>37</v>
      </c>
      <c r="B8" s="38" t="s">
        <v>115</v>
      </c>
      <c r="C8" s="41" t="s">
        <v>70</v>
      </c>
      <c r="D8" s="45" t="s">
        <v>99</v>
      </c>
      <c r="E8" s="89">
        <v>-12</v>
      </c>
      <c r="F8" s="54">
        <v>-5.2</v>
      </c>
      <c r="G8" s="52">
        <v>13.4</v>
      </c>
      <c r="H8" s="56">
        <v>28</v>
      </c>
      <c r="I8" s="59">
        <v>35.9</v>
      </c>
      <c r="J8" s="60">
        <v>38.299999999999997</v>
      </c>
      <c r="K8" s="56">
        <v>38.200000000000003</v>
      </c>
      <c r="L8" s="58">
        <v>38.4</v>
      </c>
      <c r="M8" s="56">
        <v>30.8</v>
      </c>
      <c r="N8" s="58">
        <v>24.6</v>
      </c>
      <c r="O8" s="57">
        <v>15.9</v>
      </c>
      <c r="P8" s="58">
        <v>5.0999999999999996</v>
      </c>
      <c r="Q8" s="63">
        <v>38.4</v>
      </c>
      <c r="R8" s="4"/>
    </row>
    <row r="9" spans="1:18" ht="72" customHeight="1" thickTop="1" thickBot="1" x14ac:dyDescent="0.45">
      <c r="A9" s="37" t="s">
        <v>106</v>
      </c>
      <c r="B9" s="38" t="s">
        <v>113</v>
      </c>
      <c r="C9" s="41" t="s">
        <v>70</v>
      </c>
      <c r="D9" s="45" t="s">
        <v>101</v>
      </c>
      <c r="E9" s="90">
        <v>-15.2</v>
      </c>
      <c r="F9" s="54">
        <v>-5</v>
      </c>
      <c r="G9" s="55">
        <v>13.8</v>
      </c>
      <c r="H9" s="58">
        <v>28.9</v>
      </c>
      <c r="I9" s="55">
        <v>32.4</v>
      </c>
      <c r="J9" s="51">
        <v>35.1</v>
      </c>
      <c r="K9" s="56">
        <v>38</v>
      </c>
      <c r="L9" s="59">
        <v>37.5</v>
      </c>
      <c r="M9" s="51">
        <v>30.5</v>
      </c>
      <c r="N9" s="56">
        <v>23</v>
      </c>
      <c r="O9" s="52">
        <v>9</v>
      </c>
      <c r="P9" s="52">
        <v>-3.6</v>
      </c>
      <c r="Q9" s="65">
        <v>38</v>
      </c>
      <c r="R9" s="4"/>
    </row>
    <row r="10" spans="1:18" ht="72" customHeight="1" thickTop="1" thickBot="1" x14ac:dyDescent="0.45">
      <c r="A10" s="37" t="s">
        <v>104</v>
      </c>
      <c r="B10" s="38" t="s">
        <v>111</v>
      </c>
      <c r="C10" s="41" t="s">
        <v>70</v>
      </c>
      <c r="D10" s="45" t="s">
        <v>100</v>
      </c>
      <c r="E10" s="89">
        <v>-11.6</v>
      </c>
      <c r="F10" s="54">
        <v>-5</v>
      </c>
      <c r="G10" s="95">
        <v>10.5</v>
      </c>
      <c r="H10" s="52">
        <v>24.5</v>
      </c>
      <c r="I10" s="58">
        <v>38.200000000000003</v>
      </c>
      <c r="J10" s="51">
        <v>35.1</v>
      </c>
      <c r="K10" s="57">
        <v>42.4</v>
      </c>
      <c r="L10" s="59">
        <v>37.200000000000003</v>
      </c>
      <c r="M10" s="55">
        <v>29.4</v>
      </c>
      <c r="N10" s="53">
        <v>20.8</v>
      </c>
      <c r="O10" s="58">
        <v>13.9</v>
      </c>
      <c r="P10" s="53">
        <v>-4.8</v>
      </c>
      <c r="Q10" s="66">
        <v>42.4</v>
      </c>
      <c r="R10" s="4"/>
    </row>
    <row r="11" spans="1:18" ht="72" customHeight="1" thickTop="1" thickBot="1" x14ac:dyDescent="0.45">
      <c r="A11" s="37" t="s">
        <v>43</v>
      </c>
      <c r="B11" s="38" t="s">
        <v>116</v>
      </c>
      <c r="C11" s="41" t="s">
        <v>70</v>
      </c>
      <c r="D11" s="45" t="s">
        <v>71</v>
      </c>
      <c r="E11" s="96">
        <v>-15.3</v>
      </c>
      <c r="F11" s="53">
        <v>-6.8</v>
      </c>
      <c r="G11" s="51">
        <v>14.5</v>
      </c>
      <c r="H11" s="57">
        <v>31.5</v>
      </c>
      <c r="I11" s="51">
        <v>33.4</v>
      </c>
      <c r="J11" s="57">
        <v>38.5</v>
      </c>
      <c r="K11" s="60">
        <v>42</v>
      </c>
      <c r="L11" s="60">
        <v>39.5</v>
      </c>
      <c r="M11" s="57">
        <v>34.5</v>
      </c>
      <c r="N11" s="55">
        <v>22.1</v>
      </c>
      <c r="O11" s="59">
        <v>12.5</v>
      </c>
      <c r="P11" s="54">
        <v>-4</v>
      </c>
      <c r="Q11" s="67">
        <v>42</v>
      </c>
      <c r="R11" s="4"/>
    </row>
    <row r="12" spans="1:18" ht="72" customHeight="1" thickTop="1" thickBot="1" x14ac:dyDescent="0.45">
      <c r="A12" s="37" t="s">
        <v>39</v>
      </c>
      <c r="B12" s="38" t="s">
        <v>47</v>
      </c>
      <c r="C12" s="41" t="s">
        <v>70</v>
      </c>
      <c r="D12" s="45" t="s">
        <v>72</v>
      </c>
      <c r="E12" s="91">
        <v>-14.4</v>
      </c>
      <c r="F12" s="95">
        <v>-7.8</v>
      </c>
      <c r="G12" s="55">
        <v>14</v>
      </c>
      <c r="H12" s="51">
        <v>26.5</v>
      </c>
      <c r="I12" s="51">
        <v>33.9</v>
      </c>
      <c r="J12" s="58">
        <v>37.5</v>
      </c>
      <c r="K12" s="58">
        <v>40.6</v>
      </c>
      <c r="L12" s="57">
        <v>39.9</v>
      </c>
      <c r="M12" s="56">
        <v>32</v>
      </c>
      <c r="N12" s="51">
        <v>22.6</v>
      </c>
      <c r="O12" s="55">
        <v>9.6999999999999993</v>
      </c>
      <c r="P12" s="95">
        <v>-5.3</v>
      </c>
      <c r="Q12" s="61">
        <v>40.6</v>
      </c>
      <c r="R12" s="4"/>
    </row>
    <row r="13" spans="1:18" ht="72" customHeight="1" thickTop="1" thickBot="1" x14ac:dyDescent="0.45">
      <c r="A13" s="37" t="s">
        <v>80</v>
      </c>
      <c r="B13" s="38" t="s">
        <v>85</v>
      </c>
      <c r="C13" s="41" t="s">
        <v>73</v>
      </c>
      <c r="D13" s="45" t="s">
        <v>72</v>
      </c>
      <c r="E13" s="85">
        <v>-7.5</v>
      </c>
      <c r="F13" s="55">
        <v>1</v>
      </c>
      <c r="G13" s="55">
        <v>13.8</v>
      </c>
      <c r="H13" s="56">
        <v>28</v>
      </c>
      <c r="I13" s="52">
        <v>31.7</v>
      </c>
      <c r="J13" s="60">
        <v>38.1</v>
      </c>
      <c r="K13" s="59">
        <v>38.799999999999997</v>
      </c>
      <c r="L13" s="59">
        <v>37.5</v>
      </c>
      <c r="M13" s="59">
        <v>32.9</v>
      </c>
      <c r="N13" s="55">
        <v>22</v>
      </c>
      <c r="O13" s="51">
        <v>10</v>
      </c>
      <c r="P13" s="55">
        <v>-0.2</v>
      </c>
      <c r="Q13" s="63">
        <v>38.799999999999997</v>
      </c>
      <c r="R13" s="4"/>
    </row>
    <row r="14" spans="1:18" ht="72" customHeight="1" thickTop="1" thickBot="1" x14ac:dyDescent="0.45">
      <c r="A14" s="37" t="s">
        <v>42</v>
      </c>
      <c r="B14" s="38" t="s">
        <v>49</v>
      </c>
      <c r="C14" s="41" t="s">
        <v>73</v>
      </c>
      <c r="D14" s="45" t="s">
        <v>79</v>
      </c>
      <c r="E14" s="92">
        <v>-2.9</v>
      </c>
      <c r="F14" s="57">
        <v>5.4</v>
      </c>
      <c r="G14" s="54">
        <v>12.5</v>
      </c>
      <c r="H14" s="95">
        <v>22.8</v>
      </c>
      <c r="I14" s="95">
        <v>26.4</v>
      </c>
      <c r="J14" s="95">
        <v>29.3</v>
      </c>
      <c r="K14" s="95">
        <v>32.6</v>
      </c>
      <c r="L14" s="95">
        <v>29.7</v>
      </c>
      <c r="M14" s="95">
        <v>24.7</v>
      </c>
      <c r="N14" s="95">
        <v>16.5</v>
      </c>
      <c r="O14" s="55">
        <v>9.8000000000000007</v>
      </c>
      <c r="P14" s="51">
        <v>1.8</v>
      </c>
      <c r="Q14" s="97">
        <v>32.6</v>
      </c>
      <c r="R14" s="4"/>
    </row>
    <row r="15" spans="1:18" ht="72" customHeight="1" thickTop="1" thickBot="1" x14ac:dyDescent="0.45">
      <c r="A15" s="37" t="s">
        <v>38</v>
      </c>
      <c r="B15" s="38" t="s">
        <v>46</v>
      </c>
      <c r="C15" s="41" t="s">
        <v>73</v>
      </c>
      <c r="D15" s="46" t="s">
        <v>76</v>
      </c>
      <c r="E15" s="86">
        <v>0.6</v>
      </c>
      <c r="F15" s="60">
        <v>5.2</v>
      </c>
      <c r="G15" s="55">
        <v>13.8</v>
      </c>
      <c r="H15" s="55">
        <v>25.6</v>
      </c>
      <c r="I15" s="54">
        <v>30.4</v>
      </c>
      <c r="J15" s="52">
        <v>33</v>
      </c>
      <c r="K15" s="55">
        <v>36</v>
      </c>
      <c r="L15" s="52">
        <v>33</v>
      </c>
      <c r="M15" s="52">
        <v>28.7</v>
      </c>
      <c r="N15" s="54">
        <v>21.2</v>
      </c>
      <c r="O15" s="56">
        <v>10.9</v>
      </c>
      <c r="P15" s="58">
        <v>4.7</v>
      </c>
      <c r="Q15" s="68">
        <v>36</v>
      </c>
      <c r="R15" s="4"/>
    </row>
    <row r="16" spans="1:18" ht="72" customHeight="1" thickTop="1" thickBot="1" x14ac:dyDescent="0.45">
      <c r="A16" s="37" t="s">
        <v>40</v>
      </c>
      <c r="B16" s="38" t="s">
        <v>114</v>
      </c>
      <c r="C16" s="41" t="s">
        <v>73</v>
      </c>
      <c r="D16" s="45" t="s">
        <v>74</v>
      </c>
      <c r="E16" s="93">
        <v>-2.2999999999999998</v>
      </c>
      <c r="F16" s="59">
        <v>4</v>
      </c>
      <c r="G16" s="56">
        <v>15.5</v>
      </c>
      <c r="H16" s="55">
        <v>25.8</v>
      </c>
      <c r="I16" s="52">
        <v>31.5</v>
      </c>
      <c r="J16" s="59">
        <v>37</v>
      </c>
      <c r="K16" s="51">
        <v>36.700000000000003</v>
      </c>
      <c r="L16" s="55">
        <v>34.200000000000003</v>
      </c>
      <c r="M16" s="55">
        <v>29.4</v>
      </c>
      <c r="N16" s="51">
        <v>22.4</v>
      </c>
      <c r="O16" s="51">
        <v>10.1</v>
      </c>
      <c r="P16" s="51">
        <v>1.5</v>
      </c>
      <c r="Q16" s="69">
        <v>37</v>
      </c>
      <c r="R16" s="4"/>
    </row>
    <row r="17" spans="1:18" ht="72" customHeight="1" thickTop="1" thickBot="1" x14ac:dyDescent="0.45">
      <c r="A17" s="37" t="s">
        <v>82</v>
      </c>
      <c r="B17" s="38" t="s">
        <v>108</v>
      </c>
      <c r="C17" s="41" t="s">
        <v>73</v>
      </c>
      <c r="D17" s="45" t="s">
        <v>78</v>
      </c>
      <c r="E17" s="86">
        <v>-0.8</v>
      </c>
      <c r="F17" s="56">
        <v>2.6</v>
      </c>
      <c r="G17" s="59">
        <v>16.8</v>
      </c>
      <c r="H17" s="51">
        <v>26</v>
      </c>
      <c r="I17" s="52">
        <v>31</v>
      </c>
      <c r="J17" s="54">
        <v>32.5</v>
      </c>
      <c r="K17" s="51">
        <v>36.299999999999997</v>
      </c>
      <c r="L17" s="52">
        <v>33.5</v>
      </c>
      <c r="M17" s="54">
        <v>28</v>
      </c>
      <c r="N17" s="57">
        <v>28.2</v>
      </c>
      <c r="O17" s="56">
        <v>10.5</v>
      </c>
      <c r="P17" s="56">
        <v>2.1</v>
      </c>
      <c r="Q17" s="64">
        <v>36.299999999999997</v>
      </c>
      <c r="R17" s="4"/>
    </row>
    <row r="18" spans="1:18" ht="72" customHeight="1" thickTop="1" thickBot="1" x14ac:dyDescent="0.45">
      <c r="A18" s="39" t="s">
        <v>81</v>
      </c>
      <c r="B18" s="40" t="s">
        <v>109</v>
      </c>
      <c r="C18" s="42" t="s">
        <v>73</v>
      </c>
      <c r="D18" s="47" t="s">
        <v>75</v>
      </c>
      <c r="E18" s="94">
        <v>-3</v>
      </c>
      <c r="F18" s="71">
        <v>1.2</v>
      </c>
      <c r="G18" s="70">
        <v>15.9</v>
      </c>
      <c r="H18" s="72">
        <v>26.3</v>
      </c>
      <c r="I18" s="70">
        <v>34.9</v>
      </c>
      <c r="J18" s="70">
        <v>35.6</v>
      </c>
      <c r="K18" s="70">
        <v>38</v>
      </c>
      <c r="L18" s="72">
        <v>35.200000000000003</v>
      </c>
      <c r="M18" s="71">
        <v>29.2</v>
      </c>
      <c r="N18" s="73">
        <v>21.3</v>
      </c>
      <c r="O18" s="74">
        <v>12.3</v>
      </c>
      <c r="P18" s="75">
        <v>4.3</v>
      </c>
      <c r="Q18" s="76">
        <v>38</v>
      </c>
      <c r="R18" s="4"/>
    </row>
    <row r="19" spans="1:18" ht="32" customHeight="1" x14ac:dyDescent="0.4"/>
    <row r="20" spans="1:18" ht="32" customHeight="1" x14ac:dyDescent="0.4"/>
    <row r="21" spans="1:18" ht="32" customHeight="1" x14ac:dyDescent="0.4"/>
    <row r="22" spans="1:18" ht="32" customHeight="1" x14ac:dyDescent="0.4"/>
  </sheetData>
  <sortState xmlns:xlrd2="http://schemas.microsoft.com/office/spreadsheetml/2017/richdata2" ref="A3:Q18">
    <sortCondition ref="C3:C18"/>
  </sortState>
  <mergeCells count="2">
    <mergeCell ref="C2:D2"/>
    <mergeCell ref="A1:Q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EC71-6346-4265-A9F0-F5CFD7F026FD}">
  <sheetPr codeName="Sheet4"/>
  <dimension ref="A1:J48"/>
  <sheetViews>
    <sheetView workbookViewId="0">
      <selection sqref="A1:J1"/>
    </sheetView>
  </sheetViews>
  <sheetFormatPr defaultRowHeight="13.9" x14ac:dyDescent="0.4"/>
  <cols>
    <col min="1" max="1" width="12.59765625" style="1" customWidth="1"/>
    <col min="2" max="4" width="12.59765625" style="110" customWidth="1"/>
    <col min="5" max="8" width="9.06640625" style="98"/>
    <col min="9" max="9" width="9.59765625" style="98" customWidth="1"/>
    <col min="10" max="10" width="9.06640625" style="98"/>
  </cols>
  <sheetData>
    <row r="1" spans="1:10" s="112" customFormat="1" ht="48" customHeight="1" thickBot="1" x14ac:dyDescent="0.45">
      <c r="A1" s="539" t="s">
        <v>171</v>
      </c>
      <c r="B1" s="539"/>
      <c r="C1" s="539"/>
      <c r="D1" s="539"/>
      <c r="E1" s="539"/>
      <c r="F1" s="539"/>
      <c r="G1" s="539"/>
      <c r="H1" s="539"/>
      <c r="I1" s="539"/>
      <c r="J1" s="539"/>
    </row>
    <row r="2" spans="1:10" ht="64.05" customHeight="1" thickTop="1" thickBot="1" x14ac:dyDescent="0.45">
      <c r="A2" s="102" t="s">
        <v>146</v>
      </c>
      <c r="B2" s="103" t="s">
        <v>165</v>
      </c>
      <c r="C2" s="114" t="s">
        <v>150</v>
      </c>
      <c r="D2" s="104" t="s">
        <v>151</v>
      </c>
      <c r="E2" s="107" t="s">
        <v>147</v>
      </c>
      <c r="F2" s="108" t="s">
        <v>148</v>
      </c>
      <c r="G2" s="109" t="s">
        <v>149</v>
      </c>
      <c r="H2" s="105" t="s">
        <v>144</v>
      </c>
      <c r="I2" s="106" t="s">
        <v>145</v>
      </c>
      <c r="J2" s="106" t="s">
        <v>143</v>
      </c>
    </row>
    <row r="3" spans="1:10" ht="20" customHeight="1" thickTop="1" x14ac:dyDescent="0.4">
      <c r="A3" s="115" t="s">
        <v>166</v>
      </c>
      <c r="B3" s="111">
        <v>6</v>
      </c>
      <c r="C3" s="111">
        <v>42</v>
      </c>
      <c r="D3" s="111">
        <v>11</v>
      </c>
      <c r="E3" s="99">
        <v>-40.9</v>
      </c>
      <c r="F3" s="100">
        <v>-31.2</v>
      </c>
      <c r="G3" s="101">
        <v>-22.8</v>
      </c>
      <c r="H3" s="99">
        <v>-37.200000000000003</v>
      </c>
      <c r="I3" s="100">
        <v>-43.8</v>
      </c>
      <c r="J3" s="100">
        <v>-52.2</v>
      </c>
    </row>
    <row r="4" spans="1:10" ht="20" customHeight="1" x14ac:dyDescent="0.4">
      <c r="A4" s="115" t="s">
        <v>167</v>
      </c>
      <c r="B4" s="111">
        <v>10</v>
      </c>
      <c r="C4" s="111">
        <v>45</v>
      </c>
      <c r="D4" s="111">
        <v>15</v>
      </c>
      <c r="E4" s="99">
        <v>-42.2</v>
      </c>
      <c r="F4" s="100">
        <v>-33.1</v>
      </c>
      <c r="G4" s="101">
        <v>-23.9</v>
      </c>
      <c r="H4" s="99">
        <v>-42.2</v>
      </c>
      <c r="I4" s="100">
        <v>-46.7</v>
      </c>
      <c r="J4" s="100">
        <v>-57.2</v>
      </c>
    </row>
    <row r="5" spans="1:10" ht="20" customHeight="1" x14ac:dyDescent="0.4">
      <c r="A5" s="115" t="s">
        <v>168</v>
      </c>
      <c r="B5" s="111">
        <v>4</v>
      </c>
      <c r="C5" s="111">
        <v>28</v>
      </c>
      <c r="D5" s="111">
        <v>8</v>
      </c>
      <c r="E5" s="99"/>
      <c r="F5" s="100"/>
      <c r="G5" s="101"/>
      <c r="H5" s="99">
        <v>-33.9</v>
      </c>
      <c r="I5" s="100">
        <v>-45.4</v>
      </c>
      <c r="J5" s="100">
        <v>-52.2</v>
      </c>
    </row>
    <row r="6" spans="1:10" ht="20" customHeight="1" x14ac:dyDescent="0.4">
      <c r="A6" s="115" t="s">
        <v>169</v>
      </c>
      <c r="B6" s="111"/>
      <c r="C6" s="111">
        <v>34</v>
      </c>
      <c r="D6" s="111">
        <v>10</v>
      </c>
      <c r="E6" s="99">
        <v>-39.9</v>
      </c>
      <c r="F6" s="100">
        <v>-30.9</v>
      </c>
      <c r="G6" s="101">
        <v>-21</v>
      </c>
      <c r="H6" s="99">
        <v>-32.799999999999997</v>
      </c>
      <c r="I6" s="100">
        <v>-44</v>
      </c>
      <c r="J6" s="100">
        <v>-48.9</v>
      </c>
    </row>
    <row r="7" spans="1:10" ht="20" customHeight="1" x14ac:dyDescent="0.4">
      <c r="A7" s="115" t="s">
        <v>170</v>
      </c>
      <c r="B7" s="111">
        <v>6</v>
      </c>
      <c r="C7" s="111">
        <v>37</v>
      </c>
      <c r="D7" s="111">
        <v>7</v>
      </c>
      <c r="E7" s="99">
        <v>-39.799999999999997</v>
      </c>
      <c r="F7" s="100">
        <v>-32.200000000000003</v>
      </c>
      <c r="G7" s="101">
        <v>-22</v>
      </c>
      <c r="H7" s="99">
        <v>-35</v>
      </c>
      <c r="I7" s="100">
        <v>-45</v>
      </c>
      <c r="J7" s="100">
        <v>-52.2</v>
      </c>
    </row>
    <row r="8" spans="1:10" ht="20" customHeight="1" x14ac:dyDescent="0.4">
      <c r="A8" s="115" t="s">
        <v>152</v>
      </c>
      <c r="B8" s="111">
        <v>36</v>
      </c>
      <c r="C8" s="111">
        <v>58</v>
      </c>
      <c r="D8" s="111">
        <v>23</v>
      </c>
      <c r="E8" s="99">
        <v>-49.1</v>
      </c>
      <c r="F8" s="100">
        <v>-39.299999999999997</v>
      </c>
      <c r="G8" s="101">
        <v>-27.5</v>
      </c>
      <c r="H8" s="99">
        <v>-36.1</v>
      </c>
      <c r="I8" s="100">
        <v>-49.4</v>
      </c>
      <c r="J8" s="100">
        <v>-56.1</v>
      </c>
    </row>
    <row r="9" spans="1:10" ht="20" customHeight="1" x14ac:dyDescent="0.4">
      <c r="A9" s="113" t="s">
        <v>153</v>
      </c>
      <c r="B9" s="111">
        <v>21</v>
      </c>
      <c r="C9" s="111">
        <v>91</v>
      </c>
      <c r="D9" s="111">
        <v>32</v>
      </c>
      <c r="E9" s="99">
        <v>-45.6</v>
      </c>
      <c r="F9" s="100">
        <v>-36.5</v>
      </c>
      <c r="G9" s="101">
        <v>-25.1</v>
      </c>
      <c r="H9" s="99">
        <v>-37.799999999999997</v>
      </c>
      <c r="I9" s="100">
        <v>-50.6</v>
      </c>
      <c r="J9" s="100">
        <v>-56.1</v>
      </c>
    </row>
    <row r="10" spans="1:10" ht="20" customHeight="1" x14ac:dyDescent="0.4">
      <c r="A10" s="113" t="s">
        <v>154</v>
      </c>
      <c r="B10" s="111">
        <v>13</v>
      </c>
      <c r="C10" s="111">
        <v>73</v>
      </c>
      <c r="D10" s="111">
        <v>16</v>
      </c>
      <c r="E10" s="99">
        <v>-42.3</v>
      </c>
      <c r="F10" s="100">
        <v>-32.799999999999997</v>
      </c>
      <c r="G10" s="101">
        <v>-22.3</v>
      </c>
      <c r="H10" s="99">
        <v>-37.200000000000003</v>
      </c>
      <c r="I10" s="100">
        <v>-49.8</v>
      </c>
      <c r="J10" s="100">
        <v>-53.9</v>
      </c>
    </row>
    <row r="11" spans="1:10" ht="20" customHeight="1" x14ac:dyDescent="0.4">
      <c r="A11" s="115" t="s">
        <v>155</v>
      </c>
      <c r="B11" s="111">
        <v>3</v>
      </c>
      <c r="C11" s="111">
        <v>51</v>
      </c>
      <c r="D11" s="111">
        <v>6</v>
      </c>
      <c r="E11" s="99">
        <v>-43.1</v>
      </c>
      <c r="F11" s="100">
        <v>-33.700000000000003</v>
      </c>
      <c r="G11" s="101">
        <v>-21.1</v>
      </c>
      <c r="H11" s="99">
        <v>-40</v>
      </c>
      <c r="I11" s="100">
        <v>-44.7</v>
      </c>
      <c r="J11" s="100">
        <v>-51</v>
      </c>
    </row>
    <row r="12" spans="1:10" ht="20" customHeight="1" x14ac:dyDescent="0.4">
      <c r="A12" s="113" t="s">
        <v>156</v>
      </c>
      <c r="B12" s="111"/>
      <c r="C12" s="111">
        <v>78</v>
      </c>
      <c r="D12" s="111">
        <v>2</v>
      </c>
      <c r="E12" s="99">
        <v>-41.3</v>
      </c>
      <c r="F12" s="100">
        <v>-32.299999999999997</v>
      </c>
      <c r="G12" s="101">
        <v>-21.7</v>
      </c>
      <c r="H12" s="99">
        <v>-30</v>
      </c>
      <c r="I12" s="100">
        <v>-43.5</v>
      </c>
      <c r="J12" s="100">
        <v>-49</v>
      </c>
    </row>
    <row r="13" spans="1:10" ht="20" customHeight="1" x14ac:dyDescent="0.4">
      <c r="A13" s="113" t="s">
        <v>157</v>
      </c>
      <c r="B13" s="111"/>
      <c r="C13" s="111">
        <v>57</v>
      </c>
      <c r="D13" s="111">
        <v>13</v>
      </c>
      <c r="E13" s="99">
        <v>-41.5</v>
      </c>
      <c r="F13" s="100">
        <v>-32</v>
      </c>
      <c r="G13" s="101">
        <v>-21.3</v>
      </c>
      <c r="H13" s="99">
        <v>-34</v>
      </c>
      <c r="I13" s="100">
        <v>-41.6</v>
      </c>
      <c r="J13" s="100">
        <v>-49</v>
      </c>
    </row>
    <row r="14" spans="1:10" ht="20" customHeight="1" x14ac:dyDescent="0.4">
      <c r="A14" s="115" t="s">
        <v>158</v>
      </c>
      <c r="B14" s="111">
        <v>2</v>
      </c>
      <c r="C14" s="111">
        <v>52</v>
      </c>
      <c r="D14" s="111">
        <v>4</v>
      </c>
      <c r="E14" s="99">
        <v>-40.799999999999997</v>
      </c>
      <c r="F14" s="100">
        <v>-32.799999999999997</v>
      </c>
      <c r="G14" s="101">
        <v>-22.3</v>
      </c>
      <c r="H14" s="99">
        <v>-32</v>
      </c>
      <c r="I14" s="100">
        <v>-41.8</v>
      </c>
      <c r="J14" s="100">
        <v>-50</v>
      </c>
    </row>
    <row r="15" spans="1:10" ht="20" customHeight="1" x14ac:dyDescent="0.4">
      <c r="A15" s="113" t="s">
        <v>159</v>
      </c>
      <c r="B15" s="111">
        <v>6</v>
      </c>
      <c r="C15" s="111">
        <v>79</v>
      </c>
      <c r="D15" s="111">
        <v>17</v>
      </c>
      <c r="E15" s="99">
        <v>-43</v>
      </c>
      <c r="F15" s="100">
        <v>-34.299999999999997</v>
      </c>
      <c r="G15" s="101">
        <v>-23.9</v>
      </c>
      <c r="H15" s="99">
        <v>-37</v>
      </c>
      <c r="I15" s="100">
        <v>-45.3</v>
      </c>
      <c r="J15" s="100">
        <v>-52</v>
      </c>
    </row>
    <row r="16" spans="1:10" ht="20" customHeight="1" x14ac:dyDescent="0.4">
      <c r="A16" s="113" t="s">
        <v>160</v>
      </c>
      <c r="B16" s="111">
        <v>14</v>
      </c>
      <c r="C16" s="111">
        <v>85</v>
      </c>
      <c r="D16" s="111">
        <v>23</v>
      </c>
      <c r="E16" s="99">
        <v>-44.8</v>
      </c>
      <c r="F16" s="100">
        <v>-36.200000000000003</v>
      </c>
      <c r="G16" s="101">
        <v>-25.9</v>
      </c>
      <c r="H16" s="99">
        <v>-38</v>
      </c>
      <c r="I16" s="100">
        <v>-43.2</v>
      </c>
      <c r="J16" s="100">
        <v>-52</v>
      </c>
    </row>
    <row r="17" spans="1:10" ht="20" customHeight="1" x14ac:dyDescent="0.4">
      <c r="A17" s="113" t="s">
        <v>161</v>
      </c>
      <c r="B17" s="111">
        <v>14</v>
      </c>
      <c r="C17" s="111">
        <v>65</v>
      </c>
      <c r="D17" s="111">
        <v>18</v>
      </c>
      <c r="E17" s="99">
        <v>-42</v>
      </c>
      <c r="F17" s="100">
        <v>-32.5</v>
      </c>
      <c r="G17" s="101">
        <v>-22.8</v>
      </c>
      <c r="H17" s="99">
        <v>-36</v>
      </c>
      <c r="I17" s="100">
        <v>-45.3</v>
      </c>
      <c r="J17" s="100">
        <v>-55</v>
      </c>
    </row>
    <row r="18" spans="1:10" ht="20" customHeight="1" x14ac:dyDescent="0.4">
      <c r="A18" s="115" t="s">
        <v>162</v>
      </c>
      <c r="B18" s="111"/>
      <c r="C18" s="111">
        <v>36</v>
      </c>
      <c r="D18" s="111"/>
      <c r="E18" s="99"/>
      <c r="F18" s="100"/>
      <c r="G18" s="101"/>
      <c r="H18" s="99">
        <v>-27</v>
      </c>
      <c r="I18" s="100">
        <v>-39.200000000000003</v>
      </c>
      <c r="J18" s="100">
        <v>-49</v>
      </c>
    </row>
    <row r="19" spans="1:10" ht="20" customHeight="1" x14ac:dyDescent="0.4">
      <c r="A19" s="115" t="s">
        <v>163</v>
      </c>
      <c r="B19" s="111">
        <v>1</v>
      </c>
      <c r="C19" s="111">
        <v>75</v>
      </c>
      <c r="D19" s="111">
        <v>2</v>
      </c>
      <c r="E19" s="99">
        <v>-41.3</v>
      </c>
      <c r="F19" s="100">
        <v>-32.700000000000003</v>
      </c>
      <c r="G19" s="101">
        <v>-20.6</v>
      </c>
      <c r="H19" s="99">
        <v>-30</v>
      </c>
      <c r="I19" s="100">
        <v>-42.1</v>
      </c>
      <c r="J19" s="100">
        <v>-50</v>
      </c>
    </row>
    <row r="20" spans="1:10" ht="20" customHeight="1" x14ac:dyDescent="0.4">
      <c r="A20" s="115" t="s">
        <v>164</v>
      </c>
      <c r="B20" s="111">
        <v>4</v>
      </c>
      <c r="C20" s="111">
        <v>52</v>
      </c>
      <c r="D20" s="111">
        <v>4</v>
      </c>
      <c r="E20" s="99">
        <v>-42.8</v>
      </c>
      <c r="F20" s="100">
        <v>-33.4</v>
      </c>
      <c r="G20" s="101">
        <v>-22.6</v>
      </c>
      <c r="H20" s="99">
        <v>-32.4</v>
      </c>
      <c r="I20" s="100">
        <v>-44.5</v>
      </c>
      <c r="J20" s="100">
        <v>-50.9</v>
      </c>
    </row>
    <row r="21" spans="1:10" ht="20" customHeight="1" x14ac:dyDescent="0.4">
      <c r="A21" s="113" t="s">
        <v>132</v>
      </c>
      <c r="B21" s="111">
        <v>3</v>
      </c>
      <c r="C21" s="111">
        <v>60</v>
      </c>
      <c r="D21" s="111">
        <v>11</v>
      </c>
      <c r="E21" s="99">
        <v>-41.5</v>
      </c>
      <c r="F21" s="100">
        <v>-32.700000000000003</v>
      </c>
      <c r="G21" s="101">
        <v>-22</v>
      </c>
      <c r="H21" s="99">
        <v>-33.6</v>
      </c>
      <c r="I21" s="100">
        <v>-43.7</v>
      </c>
      <c r="J21" s="100">
        <v>-51.3</v>
      </c>
    </row>
    <row r="22" spans="1:10" ht="20" customHeight="1" x14ac:dyDescent="0.4">
      <c r="A22" s="113" t="s">
        <v>133</v>
      </c>
      <c r="B22" s="111">
        <v>14</v>
      </c>
      <c r="C22" s="111">
        <v>67</v>
      </c>
      <c r="D22" s="111">
        <v>29</v>
      </c>
      <c r="E22" s="99">
        <v>-42.9</v>
      </c>
      <c r="F22" s="100">
        <v>-34.5</v>
      </c>
      <c r="G22" s="101">
        <v>-24.4</v>
      </c>
      <c r="H22" s="99">
        <v>-36.700000000000003</v>
      </c>
      <c r="I22" s="100">
        <v>-47.8</v>
      </c>
      <c r="J22" s="100">
        <v>-53</v>
      </c>
    </row>
    <row r="23" spans="1:10" ht="20" customHeight="1" x14ac:dyDescent="0.4">
      <c r="A23" s="113" t="s">
        <v>134</v>
      </c>
      <c r="B23" s="111">
        <v>11</v>
      </c>
      <c r="C23" s="111">
        <v>80</v>
      </c>
      <c r="D23" s="111">
        <v>9</v>
      </c>
      <c r="E23" s="99">
        <v>-43.7</v>
      </c>
      <c r="F23" s="100">
        <v>-34.9</v>
      </c>
      <c r="G23" s="101">
        <v>-23.5</v>
      </c>
      <c r="H23" s="99">
        <v>-33.700000000000003</v>
      </c>
      <c r="I23" s="100">
        <v>-46.7</v>
      </c>
      <c r="J23" s="100">
        <v>-54</v>
      </c>
    </row>
    <row r="24" spans="1:10" ht="20" customHeight="1" x14ac:dyDescent="0.4">
      <c r="A24" s="113" t="s">
        <v>135</v>
      </c>
      <c r="B24" s="111">
        <v>7</v>
      </c>
      <c r="C24" s="111">
        <v>63</v>
      </c>
      <c r="D24" s="111">
        <v>20</v>
      </c>
      <c r="E24" s="99">
        <v>-42.9</v>
      </c>
      <c r="F24" s="100">
        <v>-33.799999999999997</v>
      </c>
      <c r="G24" s="101">
        <v>-23.7</v>
      </c>
      <c r="H24" s="99">
        <v>-36.799999999999997</v>
      </c>
      <c r="I24" s="100">
        <v>-46.6</v>
      </c>
      <c r="J24" s="100">
        <v>-53.5</v>
      </c>
    </row>
    <row r="25" spans="1:10" ht="20" customHeight="1" x14ac:dyDescent="0.4">
      <c r="A25" s="113" t="s">
        <v>136</v>
      </c>
      <c r="B25" s="111">
        <v>7</v>
      </c>
      <c r="C25" s="111">
        <v>69</v>
      </c>
      <c r="D25" s="111">
        <v>21</v>
      </c>
      <c r="E25" s="99">
        <v>-41.5</v>
      </c>
      <c r="F25" s="100">
        <v>-33.5</v>
      </c>
      <c r="G25" s="101">
        <v>-23.9</v>
      </c>
      <c r="H25" s="99">
        <v>-37</v>
      </c>
      <c r="I25" s="100">
        <v>-44.6</v>
      </c>
      <c r="J25" s="100">
        <v>-52.3</v>
      </c>
    </row>
    <row r="26" spans="1:10" ht="20" customHeight="1" x14ac:dyDescent="0.4">
      <c r="A26" s="113" t="s">
        <v>137</v>
      </c>
      <c r="B26" s="111"/>
      <c r="C26" s="111">
        <v>47</v>
      </c>
      <c r="D26" s="111"/>
      <c r="E26" s="99">
        <v>-38.6</v>
      </c>
      <c r="F26" s="100">
        <v>-30.4</v>
      </c>
      <c r="G26" s="101">
        <v>-20.2</v>
      </c>
      <c r="H26" s="99">
        <v>-29.2</v>
      </c>
      <c r="I26" s="100">
        <v>-40.4</v>
      </c>
      <c r="J26" s="100">
        <v>-47.4</v>
      </c>
    </row>
    <row r="27" spans="1:10" ht="20" customHeight="1" x14ac:dyDescent="0.4">
      <c r="A27" s="113" t="s">
        <v>138</v>
      </c>
      <c r="B27" s="111">
        <v>6</v>
      </c>
      <c r="C27" s="111">
        <v>56</v>
      </c>
      <c r="D27" s="111">
        <v>11</v>
      </c>
      <c r="E27" s="99">
        <v>-40.799999999999997</v>
      </c>
      <c r="F27" s="100">
        <v>-32</v>
      </c>
      <c r="G27" s="101">
        <v>-21.4</v>
      </c>
      <c r="H27" s="99">
        <v>-35.1</v>
      </c>
      <c r="I27" s="100">
        <v>-46.9</v>
      </c>
      <c r="J27" s="100">
        <v>-52.1</v>
      </c>
    </row>
    <row r="28" spans="1:10" ht="20" customHeight="1" x14ac:dyDescent="0.4">
      <c r="A28" s="113" t="s">
        <v>139</v>
      </c>
      <c r="B28" s="111"/>
      <c r="C28" s="111">
        <v>38</v>
      </c>
      <c r="D28" s="111">
        <v>1</v>
      </c>
      <c r="E28" s="99">
        <v>-35.9</v>
      </c>
      <c r="F28" s="100">
        <v>-27.1</v>
      </c>
      <c r="G28" s="101">
        <v>-17.2</v>
      </c>
      <c r="H28" s="99">
        <v>-30.6</v>
      </c>
      <c r="I28" s="100">
        <v>-41.5</v>
      </c>
      <c r="J28" s="100">
        <v>-48.8</v>
      </c>
    </row>
    <row r="29" spans="1:10" ht="20" customHeight="1" x14ac:dyDescent="0.4">
      <c r="A29" s="113" t="s">
        <v>140</v>
      </c>
      <c r="B29" s="111"/>
      <c r="C29" s="111">
        <v>61</v>
      </c>
      <c r="D29" s="111">
        <v>14</v>
      </c>
      <c r="E29" s="99">
        <v>-41.5</v>
      </c>
      <c r="F29" s="100">
        <v>-32.6</v>
      </c>
      <c r="G29" s="101">
        <v>-23.1</v>
      </c>
      <c r="H29" s="99">
        <v>-34.5</v>
      </c>
      <c r="I29" s="100">
        <v>-43.8</v>
      </c>
      <c r="J29" s="100">
        <v>-49</v>
      </c>
    </row>
    <row r="30" spans="1:10" ht="20" customHeight="1" x14ac:dyDescent="0.4">
      <c r="A30" s="113" t="s">
        <v>141</v>
      </c>
      <c r="B30" s="111"/>
      <c r="C30" s="111">
        <v>54</v>
      </c>
      <c r="D30" s="111"/>
      <c r="E30" s="99">
        <v>-39.200000000000003</v>
      </c>
      <c r="F30" s="100">
        <v>-30.3</v>
      </c>
      <c r="G30" s="101">
        <v>-20.399999999999999</v>
      </c>
      <c r="H30" s="99">
        <v>-29.2</v>
      </c>
      <c r="I30" s="100">
        <v>-41.4</v>
      </c>
      <c r="J30" s="100">
        <v>-46.9</v>
      </c>
    </row>
    <row r="31" spans="1:10" ht="20" customHeight="1" x14ac:dyDescent="0.4">
      <c r="A31" s="113" t="s">
        <v>142</v>
      </c>
      <c r="B31" s="111">
        <v>10</v>
      </c>
      <c r="C31" s="111">
        <v>54</v>
      </c>
      <c r="D31" s="111">
        <v>17</v>
      </c>
      <c r="E31" s="99">
        <v>-40.4</v>
      </c>
      <c r="F31" s="100">
        <v>-31.9</v>
      </c>
      <c r="G31" s="101">
        <v>-22.5</v>
      </c>
      <c r="H31" s="99">
        <v>-35.1</v>
      </c>
      <c r="I31" s="100">
        <v>-45.9</v>
      </c>
      <c r="J31" s="100">
        <v>-57.4</v>
      </c>
    </row>
    <row r="32" spans="1:10" ht="20" customHeight="1" x14ac:dyDescent="0.4">
      <c r="A32" s="113"/>
      <c r="B32" s="111"/>
      <c r="C32" s="111"/>
      <c r="D32" s="111"/>
      <c r="E32" s="99"/>
      <c r="F32" s="100"/>
      <c r="G32" s="101"/>
      <c r="H32" s="99"/>
      <c r="I32" s="100"/>
      <c r="J32" s="100"/>
    </row>
    <row r="33" spans="1:10" ht="20" customHeight="1" x14ac:dyDescent="0.4">
      <c r="A33" s="113"/>
      <c r="B33" s="111"/>
      <c r="C33" s="111"/>
      <c r="D33" s="111"/>
      <c r="E33" s="99"/>
      <c r="F33" s="100"/>
      <c r="G33" s="101"/>
      <c r="H33" s="99"/>
      <c r="I33" s="100"/>
      <c r="J33" s="100"/>
    </row>
    <row r="34" spans="1:10" ht="20" customHeight="1" x14ac:dyDescent="0.4">
      <c r="A34" s="113"/>
      <c r="B34" s="111"/>
      <c r="C34" s="111"/>
      <c r="D34" s="111"/>
      <c r="E34" s="99"/>
      <c r="F34" s="100"/>
      <c r="G34" s="101"/>
      <c r="H34" s="99"/>
      <c r="I34" s="100"/>
      <c r="J34" s="100"/>
    </row>
    <row r="35" spans="1:10" ht="20" customHeight="1" x14ac:dyDescent="0.4">
      <c r="A35" s="113"/>
      <c r="B35" s="111"/>
      <c r="C35" s="111"/>
      <c r="D35" s="111"/>
      <c r="E35" s="99"/>
      <c r="F35" s="100"/>
      <c r="G35" s="101"/>
      <c r="H35" s="99"/>
      <c r="I35" s="100"/>
      <c r="J35" s="100"/>
    </row>
    <row r="36" spans="1:10" ht="20" customHeight="1" x14ac:dyDescent="0.4">
      <c r="A36" s="113"/>
      <c r="B36" s="111"/>
      <c r="C36" s="111"/>
      <c r="D36" s="111"/>
      <c r="E36" s="99"/>
      <c r="F36" s="100"/>
      <c r="G36" s="101"/>
      <c r="H36" s="99"/>
      <c r="I36" s="100"/>
      <c r="J36" s="100"/>
    </row>
    <row r="37" spans="1:10" ht="20" customHeight="1" x14ac:dyDescent="0.4">
      <c r="A37" s="113"/>
      <c r="B37" s="111"/>
      <c r="C37" s="111"/>
      <c r="D37" s="111"/>
      <c r="E37" s="99"/>
      <c r="F37" s="100"/>
      <c r="G37" s="101"/>
      <c r="H37" s="99"/>
      <c r="I37" s="100"/>
      <c r="J37" s="100"/>
    </row>
    <row r="38" spans="1:10" ht="20" customHeight="1" x14ac:dyDescent="0.4">
      <c r="A38" s="113"/>
      <c r="B38" s="111"/>
      <c r="C38" s="111"/>
      <c r="D38" s="111"/>
      <c r="E38" s="99"/>
      <c r="F38" s="100"/>
      <c r="G38" s="101"/>
      <c r="H38" s="99"/>
      <c r="I38" s="100"/>
      <c r="J38" s="100"/>
    </row>
    <row r="39" spans="1:10" ht="20" customHeight="1" x14ac:dyDescent="0.4">
      <c r="A39" s="113"/>
      <c r="B39" s="111"/>
      <c r="C39" s="111"/>
      <c r="D39" s="111"/>
      <c r="E39" s="99"/>
      <c r="F39" s="100"/>
      <c r="G39" s="101"/>
      <c r="H39" s="99"/>
      <c r="I39" s="100"/>
      <c r="J39" s="100"/>
    </row>
    <row r="40" spans="1:10" ht="20" customHeight="1" x14ac:dyDescent="0.4">
      <c r="A40" s="113"/>
      <c r="B40" s="111"/>
      <c r="C40" s="111"/>
      <c r="D40" s="111"/>
      <c r="E40" s="99"/>
      <c r="F40" s="100"/>
      <c r="G40" s="101"/>
      <c r="H40" s="99"/>
      <c r="I40" s="100"/>
      <c r="J40" s="100"/>
    </row>
    <row r="41" spans="1:10" ht="20" customHeight="1" x14ac:dyDescent="0.4">
      <c r="A41" s="113"/>
      <c r="B41" s="111"/>
      <c r="C41" s="111"/>
      <c r="D41" s="111"/>
      <c r="E41" s="99"/>
      <c r="F41" s="100"/>
      <c r="G41" s="101"/>
      <c r="H41" s="99"/>
      <c r="I41" s="100"/>
      <c r="J41" s="100"/>
    </row>
    <row r="42" spans="1:10" ht="20" customHeight="1" x14ac:dyDescent="0.4">
      <c r="A42" s="113"/>
      <c r="B42" s="111"/>
      <c r="C42" s="111"/>
      <c r="D42" s="111"/>
      <c r="E42" s="99"/>
      <c r="F42" s="100"/>
      <c r="G42" s="101"/>
      <c r="H42" s="99"/>
      <c r="I42" s="100"/>
      <c r="J42" s="100"/>
    </row>
    <row r="43" spans="1:10" ht="20" customHeight="1" x14ac:dyDescent="0.4">
      <c r="A43" s="113"/>
      <c r="B43" s="111"/>
      <c r="C43" s="111"/>
      <c r="D43" s="111"/>
      <c r="E43" s="99"/>
      <c r="F43" s="100"/>
      <c r="G43" s="101"/>
      <c r="H43" s="99"/>
      <c r="I43" s="100"/>
      <c r="J43" s="100"/>
    </row>
    <row r="44" spans="1:10" ht="20" customHeight="1" x14ac:dyDescent="0.4">
      <c r="A44" s="113"/>
      <c r="B44" s="111"/>
      <c r="C44" s="111"/>
      <c r="D44" s="111"/>
      <c r="E44" s="99"/>
      <c r="F44" s="100"/>
      <c r="G44" s="101"/>
      <c r="H44" s="99"/>
      <c r="I44" s="100"/>
      <c r="J44" s="100"/>
    </row>
    <row r="45" spans="1:10" ht="20" customHeight="1" x14ac:dyDescent="0.4">
      <c r="A45" s="113"/>
      <c r="B45" s="111"/>
      <c r="C45" s="111"/>
      <c r="D45" s="111"/>
      <c r="E45" s="99"/>
      <c r="F45" s="100"/>
      <c r="G45" s="101"/>
      <c r="H45" s="99"/>
      <c r="I45" s="100"/>
      <c r="J45" s="100"/>
    </row>
    <row r="46" spans="1:10" ht="20" customHeight="1" x14ac:dyDescent="0.4">
      <c r="A46" s="113"/>
      <c r="B46" s="111"/>
      <c r="C46" s="111"/>
      <c r="D46" s="111"/>
      <c r="E46" s="99"/>
      <c r="F46" s="100"/>
      <c r="G46" s="101"/>
      <c r="H46" s="99"/>
      <c r="I46" s="100"/>
      <c r="J46" s="100"/>
    </row>
    <row r="47" spans="1:10" ht="20" customHeight="1" x14ac:dyDescent="0.4">
      <c r="A47" s="113"/>
      <c r="B47" s="111"/>
      <c r="C47" s="111"/>
      <c r="D47" s="111"/>
      <c r="E47" s="99"/>
      <c r="F47" s="100"/>
      <c r="G47" s="101"/>
      <c r="H47" s="99"/>
      <c r="I47" s="100"/>
      <c r="J47" s="100"/>
    </row>
    <row r="48" spans="1:10" ht="20" customHeight="1" x14ac:dyDescent="0.4">
      <c r="A48" s="113"/>
      <c r="B48" s="111"/>
      <c r="C48" s="111"/>
      <c r="D48" s="111"/>
      <c r="E48" s="99"/>
      <c r="F48" s="100"/>
      <c r="G48" s="101"/>
      <c r="H48" s="99"/>
      <c r="I48" s="100"/>
      <c r="J48" s="100"/>
    </row>
  </sheetData>
  <mergeCells count="1">
    <mergeCell ref="A1:J1"/>
  </mergeCells>
  <phoneticPr fontId="1" type="noConversion"/>
  <conditionalFormatting sqref="A3:J48">
    <cfRule type="expression" dxfId="20" priority="21">
      <formula>IF(MOD(ROW(),2)=0,0,1)</formula>
    </cfRule>
  </conditionalFormatting>
  <conditionalFormatting sqref="B3:B48">
    <cfRule type="top10" dxfId="19" priority="1" bottom="1" rank="1"/>
    <cfRule type="top10" dxfId="18" priority="2" rank="1"/>
  </conditionalFormatting>
  <conditionalFormatting sqref="B3:C48">
    <cfRule type="top10" dxfId="17" priority="350" bottom="1" rank="1"/>
    <cfRule type="top10" dxfId="16" priority="351" rank="1"/>
  </conditionalFormatting>
  <conditionalFormatting sqref="C3:C48">
    <cfRule type="top10" dxfId="15" priority="3" bottom="1" rank="1"/>
    <cfRule type="top10" dxfId="14" priority="4" rank="1"/>
  </conditionalFormatting>
  <conditionalFormatting sqref="D3:D48">
    <cfRule type="top10" dxfId="13" priority="354" bottom="1" rank="1"/>
    <cfRule type="top10" dxfId="12" priority="355" rank="1"/>
  </conditionalFormatting>
  <conditionalFormatting sqref="E3:E48">
    <cfRule type="top10" dxfId="11" priority="358" bottom="1" rank="1"/>
    <cfRule type="top10" dxfId="10" priority="359" rank="1"/>
  </conditionalFormatting>
  <conditionalFormatting sqref="F3:F48">
    <cfRule type="top10" dxfId="9" priority="362" bottom="1" rank="1"/>
    <cfRule type="top10" dxfId="8" priority="363" rank="1"/>
  </conditionalFormatting>
  <conditionalFormatting sqref="G3:G48">
    <cfRule type="top10" dxfId="7" priority="366" bottom="1" rank="1"/>
    <cfRule type="top10" dxfId="6" priority="367" rank="1"/>
  </conditionalFormatting>
  <conditionalFormatting sqref="H3:H48">
    <cfRule type="top10" dxfId="5" priority="370" bottom="1" rank="1"/>
    <cfRule type="top10" dxfId="4" priority="371" rank="1"/>
  </conditionalFormatting>
  <conditionalFormatting sqref="I3:I48">
    <cfRule type="top10" dxfId="3" priority="374" bottom="1" rank="1"/>
    <cfRule type="top10" dxfId="2" priority="375" rank="1"/>
  </conditionalFormatting>
  <conditionalFormatting sqref="J3:J48">
    <cfRule type="top10" dxfId="1" priority="378" bottom="1" rank="1"/>
    <cfRule type="top10" dxfId="0" priority="379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99CCC-FF45-4907-A424-75692FA6B55F}">
  <sheetPr codeName="Sheet5"/>
  <dimension ref="A1:O25"/>
  <sheetViews>
    <sheetView workbookViewId="0">
      <selection sqref="A1:O1"/>
    </sheetView>
  </sheetViews>
  <sheetFormatPr defaultRowHeight="13.9" x14ac:dyDescent="0.4"/>
  <cols>
    <col min="1" max="1" width="20.59765625" style="1" customWidth="1"/>
    <col min="2" max="2" width="6.59765625" style="1" customWidth="1"/>
    <col min="3" max="14" width="10.59765625" style="34" customWidth="1"/>
    <col min="15" max="15" width="10.59765625" customWidth="1"/>
  </cols>
  <sheetData>
    <row r="1" spans="1:15" ht="60" customHeight="1" x14ac:dyDescent="0.4">
      <c r="A1" s="540" t="s">
        <v>192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541"/>
      <c r="N1" s="541"/>
      <c r="O1" s="542"/>
    </row>
    <row r="2" spans="1:15" ht="44" customHeight="1" x14ac:dyDescent="0.4">
      <c r="A2" s="119" t="s">
        <v>172</v>
      </c>
      <c r="B2" s="120" t="s">
        <v>191</v>
      </c>
      <c r="C2" s="126" t="s">
        <v>23</v>
      </c>
      <c r="D2" s="126" t="s">
        <v>24</v>
      </c>
      <c r="E2" s="126" t="s">
        <v>54</v>
      </c>
      <c r="F2" s="126" t="s">
        <v>55</v>
      </c>
      <c r="G2" s="126" t="s">
        <v>56</v>
      </c>
      <c r="H2" s="126" t="s">
        <v>57</v>
      </c>
      <c r="I2" s="126" t="s">
        <v>58</v>
      </c>
      <c r="J2" s="126" t="s">
        <v>59</v>
      </c>
      <c r="K2" s="126" t="s">
        <v>60</v>
      </c>
      <c r="L2" s="126" t="s">
        <v>61</v>
      </c>
      <c r="M2" s="121" t="s">
        <v>62</v>
      </c>
      <c r="N2" s="121" t="s">
        <v>63</v>
      </c>
      <c r="O2" s="119" t="s">
        <v>51</v>
      </c>
    </row>
    <row r="3" spans="1:15" ht="40.049999999999997" customHeight="1" x14ac:dyDescent="0.4">
      <c r="A3" s="122" t="s">
        <v>70</v>
      </c>
      <c r="B3" s="116">
        <v>18</v>
      </c>
      <c r="C3" s="123">
        <v>-27.2</v>
      </c>
      <c r="D3" s="123">
        <v>-23.2</v>
      </c>
      <c r="E3" s="123">
        <v>-12</v>
      </c>
      <c r="F3" s="117">
        <v>2.8</v>
      </c>
      <c r="G3" s="118">
        <v>10.9</v>
      </c>
      <c r="H3" s="118">
        <v>17.3</v>
      </c>
      <c r="I3" s="118">
        <v>19.100000000000001</v>
      </c>
      <c r="J3" s="118">
        <v>16.7</v>
      </c>
      <c r="K3" s="118">
        <v>9.8000000000000007</v>
      </c>
      <c r="L3" s="117">
        <v>1.1000000000000001</v>
      </c>
      <c r="M3" s="117">
        <v>-10</v>
      </c>
      <c r="N3" s="117">
        <v>-21.7</v>
      </c>
      <c r="O3" s="117">
        <v>-1.4</v>
      </c>
    </row>
    <row r="4" spans="1:15" ht="40.049999999999997" customHeight="1" x14ac:dyDescent="0.4">
      <c r="A4" s="122" t="s">
        <v>73</v>
      </c>
      <c r="B4" s="116">
        <v>23</v>
      </c>
      <c r="C4" s="117">
        <v>-26.4</v>
      </c>
      <c r="D4" s="117">
        <v>-22.4</v>
      </c>
      <c r="E4" s="117">
        <v>-11.6</v>
      </c>
      <c r="F4" s="123">
        <v>1.3</v>
      </c>
      <c r="G4" s="117">
        <v>8.4</v>
      </c>
      <c r="H4" s="117">
        <v>14.8</v>
      </c>
      <c r="I4" s="117">
        <v>16.8</v>
      </c>
      <c r="J4" s="117">
        <v>14.2</v>
      </c>
      <c r="K4" s="117">
        <v>7.4</v>
      </c>
      <c r="L4" s="123">
        <v>-1.5</v>
      </c>
      <c r="M4" s="123">
        <v>-12.9</v>
      </c>
      <c r="N4" s="123">
        <v>-22.8</v>
      </c>
      <c r="O4" s="123">
        <v>-2.9</v>
      </c>
    </row>
    <row r="5" spans="1:15" ht="40.049999999999997" customHeight="1" x14ac:dyDescent="0.4">
      <c r="A5" s="122" t="s">
        <v>64</v>
      </c>
      <c r="B5" s="116">
        <v>13</v>
      </c>
      <c r="C5" s="117">
        <v>-24.5</v>
      </c>
      <c r="D5" s="117">
        <v>-19.100000000000001</v>
      </c>
      <c r="E5" s="117">
        <v>-6.9</v>
      </c>
      <c r="F5" s="117">
        <v>4.3</v>
      </c>
      <c r="G5" s="118">
        <v>11.4</v>
      </c>
      <c r="H5" s="118">
        <v>17.899999999999999</v>
      </c>
      <c r="I5" s="118">
        <v>20.2</v>
      </c>
      <c r="J5" s="118">
        <v>17.399999999999999</v>
      </c>
      <c r="K5" s="118">
        <v>10.199999999999999</v>
      </c>
      <c r="L5" s="117">
        <v>0.9</v>
      </c>
      <c r="M5" s="117">
        <v>-11</v>
      </c>
      <c r="N5" s="117">
        <v>-21.1</v>
      </c>
      <c r="O5" s="117">
        <v>0</v>
      </c>
    </row>
    <row r="6" spans="1:15" ht="40.049999999999997" customHeight="1" x14ac:dyDescent="0.4">
      <c r="A6" s="122" t="s">
        <v>179</v>
      </c>
      <c r="B6" s="116">
        <v>4</v>
      </c>
      <c r="C6" s="117">
        <v>-24.4</v>
      </c>
      <c r="D6" s="117">
        <v>-19</v>
      </c>
      <c r="E6" s="117">
        <v>-6.4</v>
      </c>
      <c r="F6" s="117">
        <v>4.7</v>
      </c>
      <c r="G6" s="118">
        <v>11.9</v>
      </c>
      <c r="H6" s="118">
        <v>18.2</v>
      </c>
      <c r="I6" s="118">
        <v>20.5</v>
      </c>
      <c r="J6" s="118">
        <v>17.7</v>
      </c>
      <c r="K6" s="118">
        <v>10.5</v>
      </c>
      <c r="L6" s="117">
        <v>1.2</v>
      </c>
      <c r="M6" s="117">
        <v>-10.8</v>
      </c>
      <c r="N6" s="117">
        <v>-21.1</v>
      </c>
      <c r="O6" s="117">
        <v>0.3</v>
      </c>
    </row>
    <row r="7" spans="1:15" ht="40.049999999999997" customHeight="1" x14ac:dyDescent="0.4">
      <c r="A7" s="122" t="s">
        <v>66</v>
      </c>
      <c r="B7" s="116">
        <v>24</v>
      </c>
      <c r="C7" s="117">
        <v>-24.2</v>
      </c>
      <c r="D7" s="117">
        <v>-19</v>
      </c>
      <c r="E7" s="117">
        <v>-9</v>
      </c>
      <c r="F7" s="117">
        <v>1.6</v>
      </c>
      <c r="G7" s="123">
        <v>8.1999999999999993</v>
      </c>
      <c r="H7" s="123">
        <v>14.1</v>
      </c>
      <c r="I7" s="123">
        <v>16.100000000000001</v>
      </c>
      <c r="J7" s="123">
        <v>13.7</v>
      </c>
      <c r="K7" s="123">
        <v>7.1</v>
      </c>
      <c r="L7" s="117">
        <v>-1.3</v>
      </c>
      <c r="M7" s="117">
        <v>-11.9</v>
      </c>
      <c r="N7" s="117">
        <v>-20.6</v>
      </c>
      <c r="O7" s="117">
        <v>-2.1</v>
      </c>
    </row>
    <row r="8" spans="1:15" ht="40.049999999999997" customHeight="1" x14ac:dyDescent="0.4">
      <c r="A8" s="122" t="s">
        <v>95</v>
      </c>
      <c r="B8" s="116">
        <v>6</v>
      </c>
      <c r="C8" s="117">
        <v>-23.1</v>
      </c>
      <c r="D8" s="117">
        <v>-18.3</v>
      </c>
      <c r="E8" s="117">
        <v>-8.3000000000000007</v>
      </c>
      <c r="F8" s="117">
        <v>2.1</v>
      </c>
      <c r="G8" s="118">
        <v>9.3000000000000007</v>
      </c>
      <c r="H8" s="118">
        <v>15.5</v>
      </c>
      <c r="I8" s="118">
        <v>17.899999999999999</v>
      </c>
      <c r="J8" s="118">
        <v>15.4</v>
      </c>
      <c r="K8" s="118">
        <v>8.6999999999999993</v>
      </c>
      <c r="L8" s="117">
        <v>-0.4</v>
      </c>
      <c r="M8" s="117">
        <v>-12.1</v>
      </c>
      <c r="N8" s="117">
        <v>-20.8</v>
      </c>
      <c r="O8" s="117">
        <v>-1.2</v>
      </c>
    </row>
    <row r="9" spans="1:15" ht="40.049999999999997" customHeight="1" x14ac:dyDescent="0.4">
      <c r="A9" s="122" t="s">
        <v>187</v>
      </c>
      <c r="B9" s="116">
        <v>21</v>
      </c>
      <c r="C9" s="117">
        <v>-22.3</v>
      </c>
      <c r="D9" s="117">
        <v>-17.2</v>
      </c>
      <c r="E9" s="117">
        <v>-7</v>
      </c>
      <c r="F9" s="117">
        <v>3</v>
      </c>
      <c r="G9" s="118">
        <v>10.199999999999999</v>
      </c>
      <c r="H9" s="118">
        <v>16.899999999999999</v>
      </c>
      <c r="I9" s="118">
        <v>19.2</v>
      </c>
      <c r="J9" s="118">
        <v>16.8</v>
      </c>
      <c r="K9" s="118">
        <v>10</v>
      </c>
      <c r="L9" s="117">
        <v>0.2</v>
      </c>
      <c r="M9" s="117">
        <v>-10.9</v>
      </c>
      <c r="N9" s="117">
        <v>-20</v>
      </c>
      <c r="O9" s="117">
        <v>-0.1</v>
      </c>
    </row>
    <row r="10" spans="1:15" ht="40.049999999999997" customHeight="1" x14ac:dyDescent="0.4">
      <c r="A10" s="122" t="s">
        <v>189</v>
      </c>
      <c r="B10" s="116">
        <v>18</v>
      </c>
      <c r="C10" s="117">
        <v>-21.4</v>
      </c>
      <c r="D10" s="117">
        <v>-16.7</v>
      </c>
      <c r="E10" s="117">
        <v>-7.4</v>
      </c>
      <c r="F10" s="117">
        <v>2.9</v>
      </c>
      <c r="G10" s="118">
        <v>10.8</v>
      </c>
      <c r="H10" s="118">
        <v>17.100000000000001</v>
      </c>
      <c r="I10" s="118">
        <v>19.399999999999999</v>
      </c>
      <c r="J10" s="118">
        <v>17</v>
      </c>
      <c r="K10" s="118">
        <v>10.3</v>
      </c>
      <c r="L10" s="117">
        <v>0.6</v>
      </c>
      <c r="M10" s="117">
        <v>-10.9</v>
      </c>
      <c r="N10" s="117">
        <v>-19.399999999999999</v>
      </c>
      <c r="O10" s="117">
        <v>0.2</v>
      </c>
    </row>
    <row r="11" spans="1:15" ht="40.049999999999997" customHeight="1" x14ac:dyDescent="0.4">
      <c r="A11" s="122" t="s">
        <v>174</v>
      </c>
      <c r="B11" s="116">
        <v>12</v>
      </c>
      <c r="C11" s="117">
        <v>-21.4</v>
      </c>
      <c r="D11" s="117">
        <v>-16.3</v>
      </c>
      <c r="E11" s="117">
        <v>-7.1</v>
      </c>
      <c r="F11" s="117">
        <v>2.2000000000000002</v>
      </c>
      <c r="G11" s="117">
        <v>8.4</v>
      </c>
      <c r="H11" s="117">
        <v>14.4</v>
      </c>
      <c r="I11" s="123">
        <v>16.100000000000001</v>
      </c>
      <c r="J11" s="117">
        <v>14.2</v>
      </c>
      <c r="K11" s="117">
        <v>7.8</v>
      </c>
      <c r="L11" s="117">
        <v>-0.2</v>
      </c>
      <c r="M11" s="117">
        <v>-10.1</v>
      </c>
      <c r="N11" s="117">
        <v>-18.3</v>
      </c>
      <c r="O11" s="117">
        <v>-0.9</v>
      </c>
    </row>
    <row r="12" spans="1:15" ht="40.049999999999997" customHeight="1" x14ac:dyDescent="0.4">
      <c r="A12" s="127" t="s">
        <v>190</v>
      </c>
      <c r="B12" s="128">
        <v>317</v>
      </c>
      <c r="C12" s="124">
        <v>-21.3</v>
      </c>
      <c r="D12" s="124">
        <v>-16.7</v>
      </c>
      <c r="E12" s="124">
        <v>-6.9</v>
      </c>
      <c r="F12" s="124">
        <v>3.6</v>
      </c>
      <c r="G12" s="124">
        <v>10.7</v>
      </c>
      <c r="H12" s="124">
        <v>16.899999999999999</v>
      </c>
      <c r="I12" s="124">
        <v>19.100000000000001</v>
      </c>
      <c r="J12" s="124">
        <v>16.8</v>
      </c>
      <c r="K12" s="124">
        <v>10.1</v>
      </c>
      <c r="L12" s="124">
        <v>1.1000000000000001</v>
      </c>
      <c r="M12" s="124">
        <v>-9.6</v>
      </c>
      <c r="N12" s="124">
        <v>-18.399999999999999</v>
      </c>
      <c r="O12" s="124">
        <v>0.5</v>
      </c>
    </row>
    <row r="13" spans="1:15" ht="40.049999999999997" customHeight="1" x14ac:dyDescent="0.4">
      <c r="A13" s="122" t="s">
        <v>176</v>
      </c>
      <c r="B13" s="116">
        <v>16</v>
      </c>
      <c r="C13" s="117">
        <v>-21.2</v>
      </c>
      <c r="D13" s="117">
        <v>-16.3</v>
      </c>
      <c r="E13" s="117">
        <v>-6.2</v>
      </c>
      <c r="F13" s="117">
        <v>4</v>
      </c>
      <c r="G13" s="118">
        <v>10.9</v>
      </c>
      <c r="H13" s="118">
        <v>16.8</v>
      </c>
      <c r="I13" s="118">
        <v>18.8</v>
      </c>
      <c r="J13" s="118">
        <v>16.3</v>
      </c>
      <c r="K13" s="118">
        <v>9.6</v>
      </c>
      <c r="L13" s="117">
        <v>0.6</v>
      </c>
      <c r="M13" s="117">
        <v>-10</v>
      </c>
      <c r="N13" s="117">
        <v>-18.100000000000001</v>
      </c>
      <c r="O13" s="117">
        <v>0.4</v>
      </c>
    </row>
    <row r="14" spans="1:15" ht="40.049999999999997" customHeight="1" x14ac:dyDescent="0.4">
      <c r="A14" s="122" t="s">
        <v>188</v>
      </c>
      <c r="B14" s="116">
        <v>16</v>
      </c>
      <c r="C14" s="117">
        <v>-21.2</v>
      </c>
      <c r="D14" s="117">
        <v>-16.3</v>
      </c>
      <c r="E14" s="117">
        <v>-5.0999999999999996</v>
      </c>
      <c r="F14" s="118">
        <v>5.4</v>
      </c>
      <c r="G14" s="118">
        <v>11.9</v>
      </c>
      <c r="H14" s="118">
        <v>17.899999999999999</v>
      </c>
      <c r="I14" s="118">
        <v>19.7</v>
      </c>
      <c r="J14" s="118">
        <v>17.5</v>
      </c>
      <c r="K14" s="118">
        <v>11.2</v>
      </c>
      <c r="L14" s="117">
        <v>2.8</v>
      </c>
      <c r="M14" s="117">
        <v>-7.7</v>
      </c>
      <c r="N14" s="117">
        <v>-17.399999999999999</v>
      </c>
      <c r="O14" s="117">
        <v>1.6</v>
      </c>
    </row>
    <row r="15" spans="1:15" ht="40.049999999999997" customHeight="1" x14ac:dyDescent="0.4">
      <c r="A15" s="122" t="s">
        <v>181</v>
      </c>
      <c r="B15" s="116">
        <v>15</v>
      </c>
      <c r="C15" s="117">
        <v>-20.9</v>
      </c>
      <c r="D15" s="117">
        <v>-16.600000000000001</v>
      </c>
      <c r="E15" s="117">
        <v>-7.2</v>
      </c>
      <c r="F15" s="117">
        <v>3.7</v>
      </c>
      <c r="G15" s="118">
        <v>11.9</v>
      </c>
      <c r="H15" s="118">
        <v>18.600000000000001</v>
      </c>
      <c r="I15" s="118">
        <v>21.1</v>
      </c>
      <c r="J15" s="118">
        <v>18.600000000000001</v>
      </c>
      <c r="K15" s="118">
        <v>11.7</v>
      </c>
      <c r="L15" s="117">
        <v>1.7</v>
      </c>
      <c r="M15" s="117">
        <v>-10</v>
      </c>
      <c r="N15" s="117">
        <v>-18.8</v>
      </c>
      <c r="O15" s="117">
        <v>1.1000000000000001</v>
      </c>
    </row>
    <row r="16" spans="1:15" ht="40.049999999999997" customHeight="1" x14ac:dyDescent="0.4">
      <c r="A16" s="122" t="s">
        <v>186</v>
      </c>
      <c r="B16" s="116">
        <v>13</v>
      </c>
      <c r="C16" s="117">
        <v>-20.6</v>
      </c>
      <c r="D16" s="117">
        <v>-16</v>
      </c>
      <c r="E16" s="117">
        <v>-6.4</v>
      </c>
      <c r="F16" s="117">
        <v>4.0999999999999996</v>
      </c>
      <c r="G16" s="118">
        <v>12</v>
      </c>
      <c r="H16" s="118">
        <v>18.3</v>
      </c>
      <c r="I16" s="118">
        <v>21.1</v>
      </c>
      <c r="J16" s="118">
        <v>19</v>
      </c>
      <c r="K16" s="118">
        <v>12.3</v>
      </c>
      <c r="L16" s="117">
        <v>2.5</v>
      </c>
      <c r="M16" s="117">
        <v>-9.1999999999999993</v>
      </c>
      <c r="N16" s="117">
        <v>-18.2</v>
      </c>
      <c r="O16" s="117">
        <v>1.6</v>
      </c>
    </row>
    <row r="17" spans="1:15" ht="40.049999999999997" customHeight="1" x14ac:dyDescent="0.4">
      <c r="A17" s="122" t="s">
        <v>173</v>
      </c>
      <c r="B17" s="116">
        <v>17</v>
      </c>
      <c r="C17" s="117">
        <v>-20.399999999999999</v>
      </c>
      <c r="D17" s="117">
        <v>-16.100000000000001</v>
      </c>
      <c r="E17" s="117">
        <v>-7.3</v>
      </c>
      <c r="F17" s="117">
        <v>2.2000000000000002</v>
      </c>
      <c r="G17" s="117">
        <v>8.8000000000000007</v>
      </c>
      <c r="H17" s="117">
        <v>14.4</v>
      </c>
      <c r="I17" s="117">
        <v>16.3</v>
      </c>
      <c r="J17" s="117">
        <v>14</v>
      </c>
      <c r="K17" s="117">
        <v>7.8</v>
      </c>
      <c r="L17" s="117">
        <v>-0.6</v>
      </c>
      <c r="M17" s="117">
        <v>-10</v>
      </c>
      <c r="N17" s="117">
        <v>-17.5</v>
      </c>
      <c r="O17" s="117">
        <v>-0.7</v>
      </c>
    </row>
    <row r="18" spans="1:15" ht="40.049999999999997" customHeight="1" x14ac:dyDescent="0.4">
      <c r="A18" s="122" t="s">
        <v>178</v>
      </c>
      <c r="B18" s="116">
        <v>1</v>
      </c>
      <c r="C18" s="117">
        <v>-19.899999999999999</v>
      </c>
      <c r="D18" s="117">
        <v>-15</v>
      </c>
      <c r="E18" s="117">
        <v>-5.5</v>
      </c>
      <c r="F18" s="117">
        <v>4.2</v>
      </c>
      <c r="G18" s="118">
        <v>11.9</v>
      </c>
      <c r="H18" s="118">
        <v>18.100000000000001</v>
      </c>
      <c r="I18" s="118">
        <v>20.7</v>
      </c>
      <c r="J18" s="118">
        <v>18.399999999999999</v>
      </c>
      <c r="K18" s="118">
        <v>11.9</v>
      </c>
      <c r="L18" s="117">
        <v>2.2000000000000002</v>
      </c>
      <c r="M18" s="117">
        <v>-9.3000000000000007</v>
      </c>
      <c r="N18" s="117">
        <v>-17.899999999999999</v>
      </c>
      <c r="O18" s="117">
        <v>1.6</v>
      </c>
    </row>
    <row r="19" spans="1:15" ht="40.049999999999997" customHeight="1" x14ac:dyDescent="0.4">
      <c r="A19" s="122" t="s">
        <v>177</v>
      </c>
      <c r="B19" s="116">
        <v>20</v>
      </c>
      <c r="C19" s="117">
        <v>-19.5</v>
      </c>
      <c r="D19" s="117">
        <v>-15.1</v>
      </c>
      <c r="E19" s="117">
        <v>-5.7</v>
      </c>
      <c r="F19" s="117">
        <v>4.4000000000000004</v>
      </c>
      <c r="G19" s="118">
        <v>11</v>
      </c>
      <c r="H19" s="118">
        <v>17.3</v>
      </c>
      <c r="I19" s="118">
        <v>19.399999999999999</v>
      </c>
      <c r="J19" s="118">
        <v>17.2</v>
      </c>
      <c r="K19" s="118">
        <v>10.3</v>
      </c>
      <c r="L19" s="117">
        <v>1.7</v>
      </c>
      <c r="M19" s="117">
        <v>-8.1999999999999993</v>
      </c>
      <c r="N19" s="117">
        <v>-16.5</v>
      </c>
      <c r="O19" s="117">
        <v>1.4</v>
      </c>
    </row>
    <row r="20" spans="1:15" ht="40.049999999999997" customHeight="1" x14ac:dyDescent="0.4">
      <c r="A20" s="122" t="s">
        <v>175</v>
      </c>
      <c r="B20" s="116">
        <v>19</v>
      </c>
      <c r="C20" s="117">
        <v>-19.2</v>
      </c>
      <c r="D20" s="117">
        <v>-15.1</v>
      </c>
      <c r="E20" s="117">
        <v>-6.4</v>
      </c>
      <c r="F20" s="117">
        <v>3.5</v>
      </c>
      <c r="G20" s="118">
        <v>10.4</v>
      </c>
      <c r="H20" s="118">
        <v>16.5</v>
      </c>
      <c r="I20" s="118">
        <v>18.7</v>
      </c>
      <c r="J20" s="118">
        <v>16.600000000000001</v>
      </c>
      <c r="K20" s="118">
        <v>9.8000000000000007</v>
      </c>
      <c r="L20" s="117">
        <v>0.7</v>
      </c>
      <c r="M20" s="117">
        <v>-9.1999999999999993</v>
      </c>
      <c r="N20" s="117">
        <v>-16.7</v>
      </c>
      <c r="O20" s="117">
        <v>0.8</v>
      </c>
    </row>
    <row r="21" spans="1:15" ht="40.049999999999997" customHeight="1" x14ac:dyDescent="0.4">
      <c r="A21" s="122" t="s">
        <v>183</v>
      </c>
      <c r="B21" s="116">
        <v>2</v>
      </c>
      <c r="C21" s="117">
        <v>-18.600000000000001</v>
      </c>
      <c r="D21" s="117">
        <v>-14.9</v>
      </c>
      <c r="E21" s="117">
        <v>-6.3</v>
      </c>
      <c r="F21" s="117">
        <v>3.7</v>
      </c>
      <c r="G21" s="118">
        <v>10.6</v>
      </c>
      <c r="H21" s="118">
        <v>16.5</v>
      </c>
      <c r="I21" s="118">
        <v>18.3</v>
      </c>
      <c r="J21" s="118">
        <v>15.8</v>
      </c>
      <c r="K21" s="118">
        <v>9.4</v>
      </c>
      <c r="L21" s="117">
        <v>0.9</v>
      </c>
      <c r="M21" s="117">
        <v>-9.1999999999999993</v>
      </c>
      <c r="N21" s="117">
        <v>-16.2</v>
      </c>
      <c r="O21" s="117">
        <v>0.8</v>
      </c>
    </row>
    <row r="22" spans="1:15" ht="40.049999999999997" customHeight="1" x14ac:dyDescent="0.4">
      <c r="A22" s="122" t="s">
        <v>184</v>
      </c>
      <c r="B22" s="116">
        <v>18</v>
      </c>
      <c r="C22" s="117">
        <v>-17.7</v>
      </c>
      <c r="D22" s="117">
        <v>-14</v>
      </c>
      <c r="E22" s="117">
        <v>-5.5</v>
      </c>
      <c r="F22" s="117">
        <v>3.8</v>
      </c>
      <c r="G22" s="118">
        <v>10.5</v>
      </c>
      <c r="H22" s="118">
        <v>16.3</v>
      </c>
      <c r="I22" s="118">
        <v>18.600000000000001</v>
      </c>
      <c r="J22" s="118">
        <v>16.600000000000001</v>
      </c>
      <c r="K22" s="118">
        <v>10.3</v>
      </c>
      <c r="L22" s="117">
        <v>1.6</v>
      </c>
      <c r="M22" s="117">
        <v>-8.1</v>
      </c>
      <c r="N22" s="117">
        <v>-15.4</v>
      </c>
      <c r="O22" s="117">
        <v>1.4</v>
      </c>
    </row>
    <row r="23" spans="1:15" ht="40.049999999999997" customHeight="1" x14ac:dyDescent="0.4">
      <c r="A23" s="122" t="s">
        <v>182</v>
      </c>
      <c r="B23" s="116">
        <v>14</v>
      </c>
      <c r="C23" s="117">
        <v>-17.7</v>
      </c>
      <c r="D23" s="117">
        <v>-13.2</v>
      </c>
      <c r="E23" s="118">
        <v>-4</v>
      </c>
      <c r="F23" s="118">
        <v>5.3</v>
      </c>
      <c r="G23" s="118">
        <v>12.6</v>
      </c>
      <c r="H23" s="118">
        <v>19</v>
      </c>
      <c r="I23" s="118">
        <v>21.4</v>
      </c>
      <c r="J23" s="118">
        <v>18.8</v>
      </c>
      <c r="K23" s="118">
        <v>12.6</v>
      </c>
      <c r="L23" s="118">
        <v>3</v>
      </c>
      <c r="M23" s="117">
        <v>-7.6</v>
      </c>
      <c r="N23" s="117">
        <v>-15.6</v>
      </c>
      <c r="O23" s="118">
        <v>2.9</v>
      </c>
    </row>
    <row r="24" spans="1:15" ht="40.049999999999997" customHeight="1" x14ac:dyDescent="0.4">
      <c r="A24" s="122" t="s">
        <v>180</v>
      </c>
      <c r="B24" s="116">
        <v>13</v>
      </c>
      <c r="C24" s="117">
        <v>-17</v>
      </c>
      <c r="D24" s="117">
        <v>-12</v>
      </c>
      <c r="E24" s="118">
        <v>-2.9</v>
      </c>
      <c r="F24" s="118">
        <v>6.9</v>
      </c>
      <c r="G24" s="125">
        <v>14.7</v>
      </c>
      <c r="H24" s="125">
        <v>21</v>
      </c>
      <c r="I24" s="125">
        <v>23.7</v>
      </c>
      <c r="J24" s="125">
        <v>21.5</v>
      </c>
      <c r="K24" s="125">
        <v>14.5</v>
      </c>
      <c r="L24" s="118">
        <v>4.8</v>
      </c>
      <c r="M24" s="118">
        <v>-6.3</v>
      </c>
      <c r="N24" s="117">
        <v>-14.9</v>
      </c>
      <c r="O24" s="118">
        <v>4.5</v>
      </c>
    </row>
    <row r="25" spans="1:15" ht="40.049999999999997" customHeight="1" x14ac:dyDescent="0.4">
      <c r="A25" s="122" t="s">
        <v>185</v>
      </c>
      <c r="B25" s="116">
        <v>14</v>
      </c>
      <c r="C25" s="125">
        <v>-14.2</v>
      </c>
      <c r="D25" s="125">
        <v>-9.6999999999999993</v>
      </c>
      <c r="E25" s="125">
        <v>-1.7</v>
      </c>
      <c r="F25" s="125">
        <v>7.6</v>
      </c>
      <c r="G25" s="118">
        <v>14.5</v>
      </c>
      <c r="H25" s="118">
        <v>20.7</v>
      </c>
      <c r="I25" s="118">
        <v>23.2</v>
      </c>
      <c r="J25" s="118">
        <v>20.9</v>
      </c>
      <c r="K25" s="118">
        <v>14.4</v>
      </c>
      <c r="L25" s="125">
        <v>5.3</v>
      </c>
      <c r="M25" s="125">
        <v>-4.5</v>
      </c>
      <c r="N25" s="125">
        <v>-12.1</v>
      </c>
      <c r="O25" s="125">
        <v>5.4</v>
      </c>
    </row>
  </sheetData>
  <sortState xmlns:xlrd2="http://schemas.microsoft.com/office/spreadsheetml/2017/richdata2" ref="A3:O25">
    <sortCondition ref="C3:C25"/>
    <sortCondition ref="D3:D25"/>
    <sortCondition ref="N3:N25"/>
  </sortState>
  <mergeCells count="1">
    <mergeCell ref="A1:O1"/>
  </mergeCells>
  <phoneticPr fontId="1" type="noConversion"/>
  <conditionalFormatting sqref="C3:C25">
    <cfRule type="colorScale" priority="13">
      <colorScale>
        <cfvo type="min"/>
        <cfvo type="percentile" val="50"/>
        <cfvo type="max"/>
        <color rgb="FFF72585"/>
        <color rgb="FF480CA8"/>
        <color rgb="FF4895EF"/>
      </colorScale>
    </cfRule>
  </conditionalFormatting>
  <conditionalFormatting sqref="D3:D25">
    <cfRule type="colorScale" priority="1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E3:E25">
    <cfRule type="colorScale" priority="11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F3:F25">
    <cfRule type="colorScale" priority="10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G3:G25">
    <cfRule type="colorScale" priority="9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H3:H25">
    <cfRule type="colorScale" priority="8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I3:I25">
    <cfRule type="colorScale" priority="7">
      <colorScale>
        <cfvo type="min"/>
        <cfvo type="percentile" val="50"/>
        <cfvo type="max"/>
        <color rgb="FF4CC9F0"/>
        <color rgb="FFB6C454"/>
        <color rgb="FFD76A03"/>
      </colorScale>
    </cfRule>
  </conditionalFormatting>
  <conditionalFormatting sqref="J3:J25">
    <cfRule type="colorScale" priority="6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K3:K25">
    <cfRule type="colorScale" priority="5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L3:L25">
    <cfRule type="colorScale" priority="4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M3:M25">
    <cfRule type="colorScale" priority="3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N3:N25">
    <cfRule type="colorScale" priority="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O3:O25">
    <cfRule type="colorScale" priority="1">
      <colorScale>
        <cfvo type="min"/>
        <cfvo type="percentile" val="50"/>
        <cfvo type="max"/>
        <color rgb="FF3A0CA3"/>
        <color rgb="FF4CC9F0"/>
        <color rgb="FFB6C454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35C2-9BFE-45DE-AB61-BA5B29201990}">
  <dimension ref="B1:E78"/>
  <sheetViews>
    <sheetView workbookViewId="0"/>
  </sheetViews>
  <sheetFormatPr defaultRowHeight="32" customHeight="1" x14ac:dyDescent="0.4"/>
  <cols>
    <col min="1" max="1" width="9.06640625" style="410"/>
    <col min="2" max="2" width="28.59765625" style="411" customWidth="1"/>
    <col min="3" max="3" width="26.59765625" style="412" customWidth="1"/>
    <col min="4" max="4" width="16.59765625" style="413" customWidth="1"/>
    <col min="5" max="5" width="16.59765625" style="414" customWidth="1"/>
    <col min="6" max="16384" width="9.06640625" style="410"/>
  </cols>
  <sheetData>
    <row r="1" spans="2:5" ht="40.049999999999997" customHeight="1" x14ac:dyDescent="0.9">
      <c r="B1" s="543" t="s">
        <v>427</v>
      </c>
      <c r="C1" s="544"/>
      <c r="D1" s="545"/>
      <c r="E1" s="546"/>
    </row>
    <row r="2" spans="2:5" ht="24" customHeight="1" x14ac:dyDescent="0.4">
      <c r="B2" s="547" t="s">
        <v>425</v>
      </c>
      <c r="C2" s="548"/>
      <c r="D2" s="548"/>
      <c r="E2" s="549"/>
    </row>
    <row r="3" spans="2:5" ht="40.049999999999997" customHeight="1" x14ac:dyDescent="0.4">
      <c r="B3" s="415" t="s">
        <v>438</v>
      </c>
      <c r="C3" s="420" t="s">
        <v>387</v>
      </c>
      <c r="D3" s="416" t="s">
        <v>384</v>
      </c>
      <c r="E3" s="461" t="s">
        <v>385</v>
      </c>
    </row>
    <row r="4" spans="2:5" ht="32" customHeight="1" x14ac:dyDescent="0.4">
      <c r="B4" s="463" t="s">
        <v>445</v>
      </c>
      <c r="C4" s="421">
        <v>-31.7</v>
      </c>
      <c r="D4" s="457">
        <v>9</v>
      </c>
      <c r="E4" s="459" t="s">
        <v>443</v>
      </c>
    </row>
    <row r="5" spans="2:5" ht="32" customHeight="1" x14ac:dyDescent="0.4">
      <c r="B5" s="465" t="s">
        <v>441</v>
      </c>
      <c r="C5" s="421">
        <v>-27.2</v>
      </c>
      <c r="D5" s="457">
        <v>18</v>
      </c>
      <c r="E5" s="459" t="s">
        <v>442</v>
      </c>
    </row>
    <row r="6" spans="2:5" ht="40.049999999999997" customHeight="1" x14ac:dyDescent="0.4">
      <c r="B6" s="464" t="s">
        <v>446</v>
      </c>
      <c r="C6" s="421">
        <v>-26.7</v>
      </c>
      <c r="D6" s="457">
        <v>7</v>
      </c>
      <c r="E6" s="462" t="s">
        <v>444</v>
      </c>
    </row>
    <row r="7" spans="2:5" ht="32" customHeight="1" x14ac:dyDescent="0.4">
      <c r="B7" s="465" t="s">
        <v>366</v>
      </c>
      <c r="C7" s="422">
        <v>-26.4</v>
      </c>
      <c r="D7" s="457">
        <v>23</v>
      </c>
      <c r="E7" s="459" t="s">
        <v>386</v>
      </c>
    </row>
    <row r="8" spans="2:5" ht="32" customHeight="1" x14ac:dyDescent="0.4">
      <c r="B8" s="448" t="s">
        <v>334</v>
      </c>
      <c r="C8" s="422">
        <v>-26.2</v>
      </c>
      <c r="D8" s="457">
        <v>10</v>
      </c>
      <c r="E8" s="459" t="s">
        <v>429</v>
      </c>
    </row>
    <row r="9" spans="2:5" ht="32" customHeight="1" x14ac:dyDescent="0.4">
      <c r="B9" s="448" t="s">
        <v>428</v>
      </c>
      <c r="C9" s="423">
        <v>-25.9</v>
      </c>
      <c r="D9" s="457">
        <v>35</v>
      </c>
      <c r="E9" s="459" t="s">
        <v>429</v>
      </c>
    </row>
    <row r="10" spans="2:5" ht="32" customHeight="1" x14ac:dyDescent="0.4">
      <c r="B10" s="417" t="s">
        <v>383</v>
      </c>
      <c r="C10" s="423">
        <v>-25.7</v>
      </c>
      <c r="D10" s="457">
        <v>7</v>
      </c>
      <c r="E10" s="459" t="s">
        <v>388</v>
      </c>
    </row>
    <row r="11" spans="2:5" ht="32" customHeight="1" x14ac:dyDescent="0.4">
      <c r="B11" s="448" t="s">
        <v>430</v>
      </c>
      <c r="C11" s="424">
        <v>-24.9</v>
      </c>
      <c r="D11" s="457">
        <v>110</v>
      </c>
      <c r="E11" s="459" t="s">
        <v>429</v>
      </c>
    </row>
    <row r="12" spans="2:5" ht="32" customHeight="1" x14ac:dyDescent="0.4">
      <c r="B12" s="465" t="s">
        <v>367</v>
      </c>
      <c r="C12" s="424">
        <v>-24.5</v>
      </c>
      <c r="D12" s="457">
        <v>13</v>
      </c>
      <c r="E12" s="459" t="s">
        <v>386</v>
      </c>
    </row>
    <row r="13" spans="2:5" ht="32" customHeight="1" x14ac:dyDescent="0.4">
      <c r="B13" s="465" t="s">
        <v>368</v>
      </c>
      <c r="C13" s="424">
        <v>-24.4</v>
      </c>
      <c r="D13" s="457">
        <v>4</v>
      </c>
      <c r="E13" s="459" t="s">
        <v>386</v>
      </c>
    </row>
    <row r="14" spans="2:5" ht="32" customHeight="1" x14ac:dyDescent="0.4">
      <c r="B14" s="465" t="s">
        <v>369</v>
      </c>
      <c r="C14" s="424">
        <v>-24.2</v>
      </c>
      <c r="D14" s="457">
        <v>24</v>
      </c>
      <c r="E14" s="459" t="s">
        <v>386</v>
      </c>
    </row>
    <row r="15" spans="2:5" ht="32" customHeight="1" x14ac:dyDescent="0.4">
      <c r="B15" s="417" t="s">
        <v>389</v>
      </c>
      <c r="C15" s="425">
        <v>-23.4</v>
      </c>
      <c r="D15" s="457">
        <v>16</v>
      </c>
      <c r="E15" s="459" t="s">
        <v>388</v>
      </c>
    </row>
    <row r="16" spans="2:5" ht="32" customHeight="1" x14ac:dyDescent="0.4">
      <c r="B16" s="465" t="s">
        <v>365</v>
      </c>
      <c r="C16" s="425">
        <v>-23.1</v>
      </c>
      <c r="D16" s="457">
        <v>6</v>
      </c>
      <c r="E16" s="459" t="s">
        <v>386</v>
      </c>
    </row>
    <row r="17" spans="2:5" ht="32" customHeight="1" x14ac:dyDescent="0.4">
      <c r="B17" s="417" t="s">
        <v>391</v>
      </c>
      <c r="C17" s="426">
        <v>-22.6</v>
      </c>
      <c r="D17" s="457">
        <v>7</v>
      </c>
      <c r="E17" s="459" t="s">
        <v>388</v>
      </c>
    </row>
    <row r="18" spans="2:5" ht="32" customHeight="1" x14ac:dyDescent="0.4">
      <c r="B18" s="465" t="s">
        <v>370</v>
      </c>
      <c r="C18" s="426">
        <v>-22.3</v>
      </c>
      <c r="D18" s="457">
        <v>21</v>
      </c>
      <c r="E18" s="459" t="s">
        <v>386</v>
      </c>
    </row>
    <row r="19" spans="2:5" ht="32" customHeight="1" x14ac:dyDescent="0.4">
      <c r="B19" s="465" t="s">
        <v>371</v>
      </c>
      <c r="C19" s="427">
        <v>-21.4</v>
      </c>
      <c r="D19" s="457">
        <v>18</v>
      </c>
      <c r="E19" s="459" t="s">
        <v>386</v>
      </c>
    </row>
    <row r="20" spans="2:5" ht="32" customHeight="1" x14ac:dyDescent="0.4">
      <c r="B20" s="465" t="s">
        <v>372</v>
      </c>
      <c r="C20" s="427">
        <v>-21.4</v>
      </c>
      <c r="D20" s="457">
        <v>12</v>
      </c>
      <c r="E20" s="459" t="s">
        <v>386</v>
      </c>
    </row>
    <row r="21" spans="2:5" ht="32" customHeight="1" x14ac:dyDescent="0.4">
      <c r="B21" s="418" t="s">
        <v>392</v>
      </c>
      <c r="C21" s="427">
        <v>-21.3</v>
      </c>
      <c r="D21" s="457">
        <v>317</v>
      </c>
      <c r="E21" s="459" t="s">
        <v>386</v>
      </c>
    </row>
    <row r="22" spans="2:5" ht="32" customHeight="1" x14ac:dyDescent="0.4">
      <c r="B22" s="465" t="s">
        <v>373</v>
      </c>
      <c r="C22" s="427">
        <v>-21.2</v>
      </c>
      <c r="D22" s="457">
        <v>16</v>
      </c>
      <c r="E22" s="459" t="s">
        <v>386</v>
      </c>
    </row>
    <row r="23" spans="2:5" ht="32" customHeight="1" x14ac:dyDescent="0.4">
      <c r="B23" s="465" t="s">
        <v>374</v>
      </c>
      <c r="C23" s="427">
        <v>-21.2</v>
      </c>
      <c r="D23" s="457">
        <v>16</v>
      </c>
      <c r="E23" s="459" t="s">
        <v>386</v>
      </c>
    </row>
    <row r="24" spans="2:5" ht="32" customHeight="1" x14ac:dyDescent="0.4">
      <c r="B24" s="465" t="s">
        <v>375</v>
      </c>
      <c r="C24" s="428">
        <v>-20.9</v>
      </c>
      <c r="D24" s="457">
        <v>15</v>
      </c>
      <c r="E24" s="459" t="s">
        <v>386</v>
      </c>
    </row>
    <row r="25" spans="2:5" ht="32" customHeight="1" x14ac:dyDescent="0.4">
      <c r="B25" s="465" t="s">
        <v>440</v>
      </c>
      <c r="C25" s="428">
        <v>-20.6</v>
      </c>
      <c r="D25" s="457">
        <v>13</v>
      </c>
      <c r="E25" s="459" t="s">
        <v>386</v>
      </c>
    </row>
    <row r="26" spans="2:5" ht="32" customHeight="1" x14ac:dyDescent="0.4">
      <c r="B26" s="465" t="s">
        <v>376</v>
      </c>
      <c r="C26" s="428">
        <v>-20.399999999999999</v>
      </c>
      <c r="D26" s="457">
        <v>17</v>
      </c>
      <c r="E26" s="459" t="s">
        <v>386</v>
      </c>
    </row>
    <row r="27" spans="2:5" ht="32" customHeight="1" x14ac:dyDescent="0.4">
      <c r="B27" s="448" t="s">
        <v>431</v>
      </c>
      <c r="C27" s="428">
        <v>-20.399999999999999</v>
      </c>
      <c r="D27" s="457">
        <v>4</v>
      </c>
      <c r="E27" s="459" t="s">
        <v>429</v>
      </c>
    </row>
    <row r="28" spans="2:5" ht="32" customHeight="1" x14ac:dyDescent="0.4">
      <c r="B28" s="465" t="s">
        <v>377</v>
      </c>
      <c r="C28" s="429">
        <v>-19.899999999999999</v>
      </c>
      <c r="D28" s="457">
        <v>1</v>
      </c>
      <c r="E28" s="459" t="s">
        <v>386</v>
      </c>
    </row>
    <row r="29" spans="2:5" ht="32" customHeight="1" x14ac:dyDescent="0.4">
      <c r="B29" s="465" t="s">
        <v>378</v>
      </c>
      <c r="C29" s="429">
        <v>-19.5</v>
      </c>
      <c r="D29" s="457">
        <v>20</v>
      </c>
      <c r="E29" s="459" t="s">
        <v>386</v>
      </c>
    </row>
    <row r="30" spans="2:5" ht="32" customHeight="1" x14ac:dyDescent="0.4">
      <c r="B30" s="419" t="s">
        <v>329</v>
      </c>
      <c r="C30" s="429">
        <v>-19.399999999999999</v>
      </c>
      <c r="D30" s="457">
        <v>83</v>
      </c>
      <c r="E30" s="459"/>
    </row>
    <row r="31" spans="2:5" ht="32" customHeight="1" x14ac:dyDescent="0.4">
      <c r="B31" s="465" t="s">
        <v>439</v>
      </c>
      <c r="C31" s="429">
        <v>-19.2</v>
      </c>
      <c r="D31" s="457">
        <v>19</v>
      </c>
      <c r="E31" s="459" t="s">
        <v>386</v>
      </c>
    </row>
    <row r="32" spans="2:5" ht="32" customHeight="1" x14ac:dyDescent="0.4">
      <c r="B32" s="465" t="s">
        <v>379</v>
      </c>
      <c r="C32" s="430">
        <v>-18.600000000000001</v>
      </c>
      <c r="D32" s="457">
        <v>2</v>
      </c>
      <c r="E32" s="459" t="s">
        <v>386</v>
      </c>
    </row>
    <row r="33" spans="2:5" ht="32" customHeight="1" x14ac:dyDescent="0.4">
      <c r="B33" s="465" t="s">
        <v>380</v>
      </c>
      <c r="C33" s="431">
        <v>-17.7</v>
      </c>
      <c r="D33" s="457">
        <v>18</v>
      </c>
      <c r="E33" s="459" t="s">
        <v>386</v>
      </c>
    </row>
    <row r="34" spans="2:5" ht="32" customHeight="1" x14ac:dyDescent="0.4">
      <c r="B34" s="465" t="s">
        <v>381</v>
      </c>
      <c r="C34" s="431">
        <v>-17.7</v>
      </c>
      <c r="D34" s="457">
        <v>14</v>
      </c>
      <c r="E34" s="459" t="s">
        <v>386</v>
      </c>
    </row>
    <row r="35" spans="2:5" ht="32" customHeight="1" x14ac:dyDescent="0.4">
      <c r="B35" s="417" t="s">
        <v>390</v>
      </c>
      <c r="C35" s="431">
        <v>-17.399999999999999</v>
      </c>
      <c r="D35" s="457">
        <v>8</v>
      </c>
      <c r="E35" s="459" t="s">
        <v>388</v>
      </c>
    </row>
    <row r="36" spans="2:5" ht="32" customHeight="1" x14ac:dyDescent="0.4">
      <c r="B36" s="448" t="s">
        <v>432</v>
      </c>
      <c r="C36" s="431">
        <v>-17.3</v>
      </c>
      <c r="D36" s="457">
        <v>14</v>
      </c>
      <c r="E36" s="459" t="s">
        <v>429</v>
      </c>
    </row>
    <row r="37" spans="2:5" ht="32" customHeight="1" x14ac:dyDescent="0.4">
      <c r="B37" s="465" t="s">
        <v>19</v>
      </c>
      <c r="C37" s="431">
        <v>-17</v>
      </c>
      <c r="D37" s="457">
        <v>13</v>
      </c>
      <c r="E37" s="459" t="s">
        <v>386</v>
      </c>
    </row>
    <row r="38" spans="2:5" ht="32" customHeight="1" x14ac:dyDescent="0.4">
      <c r="B38" s="448" t="s">
        <v>435</v>
      </c>
      <c r="C38" s="455">
        <v>-16.8</v>
      </c>
      <c r="D38" s="457">
        <v>13</v>
      </c>
      <c r="E38" s="459" t="s">
        <v>429</v>
      </c>
    </row>
    <row r="39" spans="2:5" ht="32" customHeight="1" x14ac:dyDescent="0.4">
      <c r="B39" s="448" t="s">
        <v>436</v>
      </c>
      <c r="C39" s="455">
        <v>-16.7</v>
      </c>
      <c r="D39" s="457">
        <v>22</v>
      </c>
      <c r="E39" s="459" t="s">
        <v>429</v>
      </c>
    </row>
    <row r="40" spans="2:5" ht="32" customHeight="1" x14ac:dyDescent="0.4">
      <c r="B40" s="448" t="s">
        <v>437</v>
      </c>
      <c r="C40" s="432">
        <v>-15.9</v>
      </c>
      <c r="D40" s="457">
        <v>25</v>
      </c>
      <c r="E40" s="459" t="s">
        <v>429</v>
      </c>
    </row>
    <row r="41" spans="2:5" ht="32" customHeight="1" x14ac:dyDescent="0.4">
      <c r="B41" s="419" t="s">
        <v>394</v>
      </c>
      <c r="C41" s="432">
        <v>-15.2</v>
      </c>
      <c r="D41" s="457">
        <v>54</v>
      </c>
      <c r="E41" s="459"/>
    </row>
    <row r="42" spans="2:5" ht="32" customHeight="1" x14ac:dyDescent="0.4">
      <c r="B42" s="448" t="s">
        <v>433</v>
      </c>
      <c r="C42" s="433">
        <v>-14.9</v>
      </c>
      <c r="D42" s="457">
        <v>35</v>
      </c>
      <c r="E42" s="459" t="s">
        <v>429</v>
      </c>
    </row>
    <row r="43" spans="2:5" ht="32" customHeight="1" x14ac:dyDescent="0.4">
      <c r="B43" s="419" t="s">
        <v>330</v>
      </c>
      <c r="C43" s="433">
        <v>-14.3</v>
      </c>
      <c r="D43" s="457">
        <v>119</v>
      </c>
      <c r="E43" s="459"/>
    </row>
    <row r="44" spans="2:5" ht="32" customHeight="1" x14ac:dyDescent="0.4">
      <c r="B44" s="465" t="s">
        <v>382</v>
      </c>
      <c r="C44" s="433">
        <v>-14.2</v>
      </c>
      <c r="D44" s="457">
        <v>14</v>
      </c>
      <c r="E44" s="459" t="s">
        <v>386</v>
      </c>
    </row>
    <row r="45" spans="2:5" ht="32" customHeight="1" x14ac:dyDescent="0.4">
      <c r="B45" s="448" t="s">
        <v>434</v>
      </c>
      <c r="C45" s="456">
        <v>-12.4</v>
      </c>
      <c r="D45" s="457">
        <v>33</v>
      </c>
      <c r="E45" s="459" t="s">
        <v>429</v>
      </c>
    </row>
    <row r="46" spans="2:5" ht="32" customHeight="1" x14ac:dyDescent="0.4">
      <c r="B46" s="419" t="s">
        <v>212</v>
      </c>
      <c r="C46" s="434">
        <v>-10.7</v>
      </c>
      <c r="D46" s="457">
        <v>105</v>
      </c>
      <c r="E46" s="459"/>
    </row>
    <row r="47" spans="2:5" ht="32" customHeight="1" x14ac:dyDescent="0.4">
      <c r="B47" s="419" t="s">
        <v>400</v>
      </c>
      <c r="C47" s="434">
        <v>-10.3</v>
      </c>
      <c r="D47" s="457">
        <v>50</v>
      </c>
      <c r="E47" s="459"/>
    </row>
    <row r="48" spans="2:5" ht="32" customHeight="1" x14ac:dyDescent="0.4">
      <c r="B48" s="419" t="s">
        <v>393</v>
      </c>
      <c r="C48" s="435">
        <v>-9.4</v>
      </c>
      <c r="D48" s="457">
        <v>61</v>
      </c>
      <c r="E48" s="459"/>
    </row>
    <row r="49" spans="2:5" ht="32" customHeight="1" x14ac:dyDescent="0.4">
      <c r="B49" s="419" t="s">
        <v>398</v>
      </c>
      <c r="C49" s="436">
        <v>-7.1</v>
      </c>
      <c r="D49" s="457">
        <v>26</v>
      </c>
      <c r="E49" s="459"/>
    </row>
    <row r="50" spans="2:5" ht="32" customHeight="1" x14ac:dyDescent="0.4">
      <c r="B50" s="419" t="s">
        <v>399</v>
      </c>
      <c r="C50" s="437">
        <v>-5.7</v>
      </c>
      <c r="D50" s="457">
        <v>81</v>
      </c>
      <c r="E50" s="459"/>
    </row>
    <row r="51" spans="2:5" ht="32" customHeight="1" x14ac:dyDescent="0.4">
      <c r="B51" s="419" t="s">
        <v>396</v>
      </c>
      <c r="C51" s="437">
        <v>-5.6</v>
      </c>
      <c r="D51" s="457">
        <v>109</v>
      </c>
      <c r="E51" s="459"/>
    </row>
    <row r="52" spans="2:5" ht="32" customHeight="1" x14ac:dyDescent="0.4">
      <c r="B52" s="419" t="s">
        <v>422</v>
      </c>
      <c r="C52" s="438">
        <v>-4.5999999999999996</v>
      </c>
      <c r="D52" s="457">
        <v>20</v>
      </c>
      <c r="E52" s="459"/>
    </row>
    <row r="53" spans="2:5" ht="32" customHeight="1" x14ac:dyDescent="0.4">
      <c r="B53" s="419" t="s">
        <v>401</v>
      </c>
      <c r="C53" s="438">
        <v>-4.5</v>
      </c>
      <c r="D53" s="457">
        <v>39</v>
      </c>
      <c r="E53" s="459"/>
    </row>
    <row r="54" spans="2:5" ht="32" customHeight="1" x14ac:dyDescent="0.4">
      <c r="B54" s="419" t="s">
        <v>395</v>
      </c>
      <c r="C54" s="438">
        <v>-4.2</v>
      </c>
      <c r="D54" s="457">
        <v>142</v>
      </c>
      <c r="E54" s="459"/>
    </row>
    <row r="55" spans="2:5" ht="32" customHeight="1" x14ac:dyDescent="0.4">
      <c r="B55" s="419" t="s">
        <v>424</v>
      </c>
      <c r="C55" s="439">
        <v>-3</v>
      </c>
      <c r="D55" s="457">
        <v>14</v>
      </c>
      <c r="E55" s="459"/>
    </row>
    <row r="56" spans="2:5" ht="32" customHeight="1" x14ac:dyDescent="0.4">
      <c r="B56" s="419" t="s">
        <v>397</v>
      </c>
      <c r="C56" s="440">
        <v>-1.5</v>
      </c>
      <c r="D56" s="457">
        <v>100</v>
      </c>
      <c r="E56" s="459"/>
    </row>
    <row r="57" spans="2:5" ht="32" customHeight="1" x14ac:dyDescent="0.4">
      <c r="B57" s="419" t="s">
        <v>402</v>
      </c>
      <c r="C57" s="440">
        <v>-1.2</v>
      </c>
      <c r="D57" s="457">
        <v>123</v>
      </c>
      <c r="E57" s="459"/>
    </row>
    <row r="58" spans="2:5" ht="32" customHeight="1" x14ac:dyDescent="0.4">
      <c r="B58" s="418" t="s">
        <v>421</v>
      </c>
      <c r="C58" s="441">
        <v>-0.1</v>
      </c>
      <c r="D58" s="457">
        <v>2457</v>
      </c>
      <c r="E58" s="459"/>
    </row>
    <row r="59" spans="2:5" ht="32" customHeight="1" x14ac:dyDescent="0.4">
      <c r="B59" s="419" t="s">
        <v>403</v>
      </c>
      <c r="C59" s="441">
        <v>0.8</v>
      </c>
      <c r="D59" s="457">
        <v>121</v>
      </c>
      <c r="E59" s="459"/>
    </row>
    <row r="60" spans="2:5" ht="32" customHeight="1" x14ac:dyDescent="0.4">
      <c r="B60" s="419" t="s">
        <v>415</v>
      </c>
      <c r="C60" s="442">
        <v>2.4</v>
      </c>
      <c r="D60" s="457">
        <v>73</v>
      </c>
      <c r="E60" s="459"/>
    </row>
    <row r="61" spans="2:5" ht="32" customHeight="1" x14ac:dyDescent="0.4">
      <c r="B61" s="419" t="s">
        <v>414</v>
      </c>
      <c r="C61" s="442">
        <v>2.8</v>
      </c>
      <c r="D61" s="457">
        <v>81</v>
      </c>
      <c r="E61" s="459"/>
    </row>
    <row r="62" spans="2:5" ht="32" customHeight="1" x14ac:dyDescent="0.4">
      <c r="B62" s="419" t="s">
        <v>412</v>
      </c>
      <c r="C62" s="443">
        <v>4.0999999999999996</v>
      </c>
      <c r="D62" s="457">
        <v>84</v>
      </c>
      <c r="E62" s="459"/>
    </row>
    <row r="63" spans="2:5" ht="32" customHeight="1" x14ac:dyDescent="0.4">
      <c r="B63" s="419" t="s">
        <v>423</v>
      </c>
      <c r="C63" s="443">
        <v>4.8</v>
      </c>
      <c r="D63" s="457">
        <v>12</v>
      </c>
      <c r="E63" s="459"/>
    </row>
    <row r="64" spans="2:5" ht="32" customHeight="1" x14ac:dyDescent="0.4">
      <c r="B64" s="419" t="s">
        <v>404</v>
      </c>
      <c r="C64" s="444">
        <v>5.0999999999999996</v>
      </c>
      <c r="D64" s="457">
        <v>159</v>
      </c>
      <c r="E64" s="459"/>
    </row>
    <row r="65" spans="2:5" ht="32" customHeight="1" x14ac:dyDescent="0.4">
      <c r="B65" s="419" t="s">
        <v>406</v>
      </c>
      <c r="C65" s="444">
        <v>5.2</v>
      </c>
      <c r="D65" s="457">
        <v>85</v>
      </c>
      <c r="E65" s="459"/>
    </row>
    <row r="66" spans="2:5" ht="32" customHeight="1" x14ac:dyDescent="0.4">
      <c r="B66" s="419" t="s">
        <v>411</v>
      </c>
      <c r="C66" s="444">
        <v>5.6</v>
      </c>
      <c r="D66" s="457">
        <v>98</v>
      </c>
      <c r="E66" s="459"/>
    </row>
    <row r="67" spans="2:5" ht="32" customHeight="1" x14ac:dyDescent="0.4">
      <c r="B67" s="445" t="s">
        <v>416</v>
      </c>
      <c r="C67" s="449">
        <v>6</v>
      </c>
      <c r="D67" s="458">
        <v>70</v>
      </c>
      <c r="E67" s="460"/>
    </row>
    <row r="68" spans="2:5" ht="32" customHeight="1" x14ac:dyDescent="0.4">
      <c r="B68" s="445" t="s">
        <v>413</v>
      </c>
      <c r="C68" s="449">
        <v>6.4</v>
      </c>
      <c r="D68" s="458">
        <v>91</v>
      </c>
      <c r="E68" s="460"/>
    </row>
    <row r="69" spans="2:5" ht="32" customHeight="1" x14ac:dyDescent="0.4">
      <c r="B69" s="445" t="s">
        <v>407</v>
      </c>
      <c r="C69" s="449">
        <v>6.8</v>
      </c>
      <c r="D69" s="458">
        <v>35</v>
      </c>
      <c r="E69" s="460"/>
    </row>
    <row r="70" spans="2:5" ht="32" customHeight="1" x14ac:dyDescent="0.4">
      <c r="B70" s="445" t="s">
        <v>405</v>
      </c>
      <c r="C70" s="451">
        <v>9.6999999999999993</v>
      </c>
      <c r="D70" s="458">
        <v>127</v>
      </c>
      <c r="E70" s="460"/>
    </row>
    <row r="71" spans="2:5" ht="32" customHeight="1" x14ac:dyDescent="0.4">
      <c r="B71" s="445" t="s">
        <v>417</v>
      </c>
      <c r="C71" s="452">
        <v>10.5</v>
      </c>
      <c r="D71" s="458">
        <v>70</v>
      </c>
      <c r="E71" s="460"/>
    </row>
    <row r="72" spans="2:5" ht="32" customHeight="1" x14ac:dyDescent="0.4">
      <c r="B72" s="445" t="s">
        <v>408</v>
      </c>
      <c r="C72" s="454">
        <v>11.4</v>
      </c>
      <c r="D72" s="458">
        <v>91</v>
      </c>
      <c r="E72" s="460"/>
    </row>
    <row r="73" spans="2:5" ht="32" customHeight="1" x14ac:dyDescent="0.4">
      <c r="B73" s="445" t="s">
        <v>409</v>
      </c>
      <c r="C73" s="453">
        <v>13.5</v>
      </c>
      <c r="D73" s="458">
        <v>86</v>
      </c>
      <c r="E73" s="460"/>
    </row>
    <row r="74" spans="2:5" ht="32" customHeight="1" x14ac:dyDescent="0.4">
      <c r="B74" s="445" t="s">
        <v>420</v>
      </c>
      <c r="C74" s="450">
        <v>15.2</v>
      </c>
      <c r="D74" s="458">
        <v>1</v>
      </c>
      <c r="E74" s="460"/>
    </row>
    <row r="75" spans="2:5" ht="32" customHeight="1" x14ac:dyDescent="0.4">
      <c r="B75" s="445" t="s">
        <v>418</v>
      </c>
      <c r="C75" s="450">
        <v>15.8</v>
      </c>
      <c r="D75" s="458">
        <v>25</v>
      </c>
      <c r="E75" s="460"/>
    </row>
    <row r="76" spans="2:5" ht="32" customHeight="1" x14ac:dyDescent="0.4">
      <c r="B76" s="445" t="s">
        <v>419</v>
      </c>
      <c r="C76" s="447">
        <v>16.8</v>
      </c>
      <c r="D76" s="458">
        <v>1</v>
      </c>
      <c r="E76" s="460"/>
    </row>
    <row r="77" spans="2:5" ht="32" customHeight="1" x14ac:dyDescent="0.4">
      <c r="B77" s="445" t="s">
        <v>410</v>
      </c>
      <c r="C77" s="446">
        <v>19.3</v>
      </c>
      <c r="D77" s="458">
        <v>21</v>
      </c>
      <c r="E77" s="460"/>
    </row>
    <row r="78" spans="2:5" ht="82.05" customHeight="1" x14ac:dyDescent="0.4">
      <c r="B78" s="550" t="s">
        <v>426</v>
      </c>
      <c r="C78" s="551"/>
      <c r="D78" s="551"/>
      <c r="E78" s="551"/>
    </row>
  </sheetData>
  <sortState xmlns:xlrd2="http://schemas.microsoft.com/office/spreadsheetml/2017/richdata2" ref="B4:E77">
    <sortCondition ref="C4:C77"/>
  </sortState>
  <mergeCells count="3">
    <mergeCell ref="B1:E1"/>
    <mergeCell ref="B2:E2"/>
    <mergeCell ref="B78:E7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E2AF-B562-477E-B49D-E78846CED977}">
  <sheetPr codeName="Sheet6"/>
  <dimension ref="A1:H25"/>
  <sheetViews>
    <sheetView workbookViewId="0"/>
  </sheetViews>
  <sheetFormatPr defaultRowHeight="13.9" x14ac:dyDescent="0.4"/>
  <cols>
    <col min="1" max="1" width="8.59765625" style="1" customWidth="1"/>
    <col min="2" max="2" width="26.59765625" style="130" customWidth="1"/>
    <col min="3" max="8" width="12.59765625" customWidth="1"/>
  </cols>
  <sheetData>
    <row r="1" spans="1:8" ht="44" customHeight="1" thickBot="1" x14ac:dyDescent="0.45">
      <c r="A1" s="147"/>
      <c r="B1" s="552" t="s">
        <v>207</v>
      </c>
      <c r="C1" s="552"/>
      <c r="D1" s="552"/>
      <c r="E1" s="552"/>
      <c r="F1" s="552"/>
      <c r="G1" s="552"/>
      <c r="H1" s="552"/>
    </row>
    <row r="2" spans="1:8" ht="28.05" customHeight="1" thickBot="1" x14ac:dyDescent="0.45">
      <c r="A2" s="554" t="s">
        <v>193</v>
      </c>
      <c r="B2" s="557" t="s">
        <v>204</v>
      </c>
      <c r="C2" s="553" t="s">
        <v>205</v>
      </c>
      <c r="D2" s="554"/>
      <c r="E2" s="555"/>
      <c r="F2" s="556" t="s">
        <v>206</v>
      </c>
      <c r="G2" s="554"/>
      <c r="H2" s="554"/>
    </row>
    <row r="3" spans="1:8" s="129" customFormat="1" ht="36" customHeight="1" thickBot="1" x14ac:dyDescent="0.45">
      <c r="A3" s="554"/>
      <c r="B3" s="557"/>
      <c r="C3" s="141" t="s">
        <v>34</v>
      </c>
      <c r="D3" s="142" t="s">
        <v>23</v>
      </c>
      <c r="E3" s="143" t="s">
        <v>24</v>
      </c>
      <c r="F3" s="144" t="s">
        <v>34</v>
      </c>
      <c r="G3" s="142" t="s">
        <v>23</v>
      </c>
      <c r="H3" s="145" t="s">
        <v>24</v>
      </c>
    </row>
    <row r="4" spans="1:8" ht="32" customHeight="1" thickBot="1" x14ac:dyDescent="0.45">
      <c r="A4" s="132">
        <v>24688</v>
      </c>
      <c r="B4" s="146" t="s">
        <v>197</v>
      </c>
      <c r="C4" s="133">
        <v>-44.9</v>
      </c>
      <c r="D4" s="134">
        <v>-45.7</v>
      </c>
      <c r="E4" s="135">
        <v>-42.2</v>
      </c>
      <c r="F4" s="136">
        <v>-45.5</v>
      </c>
      <c r="G4" s="134">
        <v>-46.9</v>
      </c>
      <c r="H4" s="134">
        <v>-42.8</v>
      </c>
    </row>
    <row r="5" spans="1:8" ht="32" customHeight="1" thickBot="1" x14ac:dyDescent="0.45">
      <c r="A5" s="132">
        <v>24585</v>
      </c>
      <c r="B5" s="146" t="s">
        <v>198</v>
      </c>
      <c r="C5" s="137">
        <v>-44.4</v>
      </c>
      <c r="D5" s="138">
        <v>-45.3</v>
      </c>
      <c r="E5" s="139">
        <v>-41.1</v>
      </c>
      <c r="F5" s="140">
        <v>-44.7</v>
      </c>
      <c r="G5" s="138">
        <v>-46.2</v>
      </c>
      <c r="H5" s="138">
        <v>-41.3</v>
      </c>
    </row>
    <row r="6" spans="1:8" ht="32" customHeight="1" thickBot="1" x14ac:dyDescent="0.45">
      <c r="A6" s="132">
        <v>24588</v>
      </c>
      <c r="B6" s="146" t="s">
        <v>195</v>
      </c>
      <c r="C6" s="137">
        <v>-44.2</v>
      </c>
      <c r="D6" s="138">
        <v>-45</v>
      </c>
      <c r="E6" s="139">
        <v>-41.5</v>
      </c>
      <c r="F6" s="140">
        <v>-44.4</v>
      </c>
      <c r="G6" s="138">
        <v>-46.2</v>
      </c>
      <c r="H6" s="138">
        <v>-41.7</v>
      </c>
    </row>
    <row r="7" spans="1:8" ht="32" customHeight="1" thickBot="1" x14ac:dyDescent="0.45">
      <c r="A7" s="132">
        <v>24266</v>
      </c>
      <c r="B7" s="146" t="s">
        <v>199</v>
      </c>
      <c r="C7" s="137">
        <v>-43.4</v>
      </c>
      <c r="D7" s="138">
        <v>-44.7</v>
      </c>
      <c r="E7" s="135">
        <v>-42.2</v>
      </c>
      <c r="F7" s="140">
        <v>-43.5</v>
      </c>
      <c r="G7" s="134">
        <v>-46.9</v>
      </c>
      <c r="H7" s="138">
        <v>-42.6</v>
      </c>
    </row>
    <row r="8" spans="1:8" ht="32" customHeight="1" thickBot="1" x14ac:dyDescent="0.45">
      <c r="A8" s="132">
        <v>24691</v>
      </c>
      <c r="B8" s="146" t="s">
        <v>194</v>
      </c>
      <c r="C8" s="137">
        <v>-43.6</v>
      </c>
      <c r="D8" s="138">
        <v>-44.7</v>
      </c>
      <c r="E8" s="139">
        <v>-41.2</v>
      </c>
      <c r="F8" s="140">
        <v>-44.9</v>
      </c>
      <c r="G8" s="138">
        <v>-45.7</v>
      </c>
      <c r="H8" s="138">
        <v>-41.6</v>
      </c>
    </row>
    <row r="9" spans="1:8" ht="32" customHeight="1" thickBot="1" x14ac:dyDescent="0.45">
      <c r="A9" s="132">
        <v>24684</v>
      </c>
      <c r="B9" s="146" t="s">
        <v>202</v>
      </c>
      <c r="C9" s="137">
        <v>-43.9</v>
      </c>
      <c r="D9" s="138">
        <v>-44.5</v>
      </c>
      <c r="E9" s="139">
        <v>-40.5</v>
      </c>
      <c r="F9" s="140">
        <v>-44.6</v>
      </c>
      <c r="G9" s="138">
        <v>-45.6</v>
      </c>
      <c r="H9" s="138">
        <v>-41</v>
      </c>
    </row>
    <row r="10" spans="1:8" ht="32" customHeight="1" thickBot="1" x14ac:dyDescent="0.45">
      <c r="A10" s="132">
        <v>24477</v>
      </c>
      <c r="B10" s="146" t="s">
        <v>201</v>
      </c>
      <c r="C10" s="137">
        <v>-43</v>
      </c>
      <c r="D10" s="138">
        <v>-43.7</v>
      </c>
      <c r="E10" s="139">
        <v>-41.4</v>
      </c>
      <c r="F10" s="140">
        <v>-41.7</v>
      </c>
      <c r="G10" s="138">
        <v>-44.7</v>
      </c>
      <c r="H10" s="138">
        <v>-42</v>
      </c>
    </row>
    <row r="11" spans="1:8" ht="32" customHeight="1" thickBot="1" x14ac:dyDescent="0.45">
      <c r="A11" s="132">
        <v>24382</v>
      </c>
      <c r="B11" s="146" t="s">
        <v>203</v>
      </c>
      <c r="C11" s="137">
        <v>-40.299999999999997</v>
      </c>
      <c r="D11" s="138">
        <v>-41.6</v>
      </c>
      <c r="E11" s="139">
        <v>-38.4</v>
      </c>
      <c r="F11" s="140">
        <v>-42.2</v>
      </c>
      <c r="G11" s="138">
        <v>-43.8</v>
      </c>
      <c r="H11" s="138">
        <v>-40.200000000000003</v>
      </c>
    </row>
    <row r="12" spans="1:8" ht="32" customHeight="1" thickBot="1" x14ac:dyDescent="0.45">
      <c r="A12" s="132">
        <v>24959</v>
      </c>
      <c r="B12" s="146" t="s">
        <v>200</v>
      </c>
      <c r="C12" s="137">
        <v>-37</v>
      </c>
      <c r="D12" s="138">
        <v>-36.9</v>
      </c>
      <c r="E12" s="139">
        <v>-32.9</v>
      </c>
      <c r="F12" s="140">
        <v>-38.700000000000003</v>
      </c>
      <c r="G12" s="138">
        <v>-40.799999999999997</v>
      </c>
      <c r="H12" s="138">
        <v>-35.799999999999997</v>
      </c>
    </row>
    <row r="13" spans="1:8" ht="32" customHeight="1" thickBot="1" x14ac:dyDescent="0.45">
      <c r="A13" s="132">
        <v>31137</v>
      </c>
      <c r="B13" s="146" t="s">
        <v>196</v>
      </c>
      <c r="C13" s="133">
        <v>-36.299999999999997</v>
      </c>
      <c r="D13" s="134">
        <v>-36.6</v>
      </c>
      <c r="E13" s="135">
        <v>-31.9</v>
      </c>
      <c r="F13" s="136">
        <v>-34.799999999999997</v>
      </c>
      <c r="G13" s="134">
        <v>-37.4</v>
      </c>
      <c r="H13" s="134">
        <v>-31.3</v>
      </c>
    </row>
    <row r="17" spans="2:2" x14ac:dyDescent="0.4">
      <c r="B17" s="131"/>
    </row>
    <row r="18" spans="2:2" x14ac:dyDescent="0.4">
      <c r="B18" s="131"/>
    </row>
    <row r="19" spans="2:2" x14ac:dyDescent="0.4">
      <c r="B19" s="131"/>
    </row>
    <row r="20" spans="2:2" x14ac:dyDescent="0.4">
      <c r="B20" s="131"/>
    </row>
    <row r="21" spans="2:2" x14ac:dyDescent="0.4">
      <c r="B21" s="131"/>
    </row>
    <row r="22" spans="2:2" x14ac:dyDescent="0.4">
      <c r="B22" s="131"/>
    </row>
    <row r="23" spans="2:2" x14ac:dyDescent="0.4">
      <c r="B23" s="131"/>
    </row>
    <row r="24" spans="2:2" x14ac:dyDescent="0.4">
      <c r="B24" s="131"/>
    </row>
    <row r="25" spans="2:2" x14ac:dyDescent="0.4">
      <c r="B25" s="131"/>
    </row>
  </sheetData>
  <sortState xmlns:xlrd2="http://schemas.microsoft.com/office/spreadsheetml/2017/richdata2" ref="A5:H13">
    <sortCondition ref="D4:D13"/>
    <sortCondition ref="G4:G13"/>
    <sortCondition ref="C4:C13"/>
    <sortCondition ref="F4:F13"/>
  </sortState>
  <mergeCells count="5">
    <mergeCell ref="B1:H1"/>
    <mergeCell ref="C2:E2"/>
    <mergeCell ref="F2:H2"/>
    <mergeCell ref="B2:B3"/>
    <mergeCell ref="A2:A3"/>
  </mergeCells>
  <phoneticPr fontId="1" type="noConversion"/>
  <conditionalFormatting sqref="C4:H13">
    <cfRule type="colorScale" priority="1">
      <colorScale>
        <cfvo type="min"/>
        <cfvo type="percentile" val="50"/>
        <cfvo type="max"/>
        <color rgb="FFF72585"/>
        <color rgb="FF7030A0"/>
        <color rgb="FF00B0F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EB1EC-4D11-4372-ADA8-4DBB4C86B00C}">
  <dimension ref="A1:D12"/>
  <sheetViews>
    <sheetView workbookViewId="0">
      <selection sqref="A1:D1"/>
    </sheetView>
  </sheetViews>
  <sheetFormatPr defaultRowHeight="13.9" x14ac:dyDescent="0.4"/>
  <cols>
    <col min="1" max="1" width="24.59765625" customWidth="1"/>
    <col min="2" max="2" width="20.59765625" customWidth="1"/>
    <col min="3" max="3" width="12.59765625" customWidth="1"/>
    <col min="4" max="4" width="20.59765625" customWidth="1"/>
  </cols>
  <sheetData>
    <row r="1" spans="1:4" ht="69.400000000000006" customHeight="1" x14ac:dyDescent="0.4">
      <c r="A1" s="558" t="s">
        <v>466</v>
      </c>
      <c r="B1" s="558"/>
      <c r="C1" s="558"/>
      <c r="D1" s="558"/>
    </row>
    <row r="2" spans="1:4" ht="44" customHeight="1" x14ac:dyDescent="0.4">
      <c r="A2" s="488" t="s">
        <v>454</v>
      </c>
      <c r="B2" s="559" t="s">
        <v>471</v>
      </c>
      <c r="C2" s="559"/>
      <c r="D2" s="489" t="s">
        <v>455</v>
      </c>
    </row>
    <row r="3" spans="1:4" ht="44" customHeight="1" x14ac:dyDescent="0.4">
      <c r="A3" s="467" t="s">
        <v>451</v>
      </c>
      <c r="B3" s="470">
        <v>-34.9</v>
      </c>
      <c r="C3" s="479" t="s">
        <v>469</v>
      </c>
      <c r="D3" s="466" t="s">
        <v>458</v>
      </c>
    </row>
    <row r="4" spans="1:4" ht="44" customHeight="1" x14ac:dyDescent="0.4">
      <c r="A4" s="467" t="s">
        <v>447</v>
      </c>
      <c r="B4" s="471">
        <v>-16.600000000000001</v>
      </c>
      <c r="C4" s="480" t="s">
        <v>467</v>
      </c>
      <c r="D4" s="466" t="s">
        <v>460</v>
      </c>
    </row>
    <row r="5" spans="1:4" ht="44" customHeight="1" x14ac:dyDescent="0.4">
      <c r="A5" s="467" t="s">
        <v>71</v>
      </c>
      <c r="B5" s="472">
        <v>-15.3</v>
      </c>
      <c r="C5" s="481" t="s">
        <v>467</v>
      </c>
      <c r="D5" s="466" t="s">
        <v>461</v>
      </c>
    </row>
    <row r="6" spans="1:4" ht="44" customHeight="1" x14ac:dyDescent="0.4">
      <c r="A6" s="467" t="s">
        <v>470</v>
      </c>
      <c r="B6" s="473">
        <v>-11</v>
      </c>
      <c r="C6" s="482" t="s">
        <v>468</v>
      </c>
      <c r="D6" s="466" t="s">
        <v>457</v>
      </c>
    </row>
    <row r="7" spans="1:4" ht="44" customHeight="1" x14ac:dyDescent="0.4">
      <c r="A7" s="467" t="s">
        <v>472</v>
      </c>
      <c r="B7" s="474">
        <v>-6.3</v>
      </c>
      <c r="C7" s="483" t="s">
        <v>467</v>
      </c>
      <c r="D7" s="466" t="s">
        <v>465</v>
      </c>
    </row>
    <row r="8" spans="1:4" ht="44" customHeight="1" x14ac:dyDescent="0.4">
      <c r="A8" s="468" t="s">
        <v>448</v>
      </c>
      <c r="B8" s="475">
        <v>-4.8</v>
      </c>
      <c r="C8" s="484" t="s">
        <v>467</v>
      </c>
      <c r="D8" s="469" t="s">
        <v>462</v>
      </c>
    </row>
    <row r="9" spans="1:4" ht="44" customHeight="1" x14ac:dyDescent="0.4">
      <c r="A9" s="467" t="s">
        <v>449</v>
      </c>
      <c r="B9" s="476">
        <v>-1.1000000000000001</v>
      </c>
      <c r="C9" s="485" t="s">
        <v>468</v>
      </c>
      <c r="D9" s="466" t="s">
        <v>463</v>
      </c>
    </row>
    <row r="10" spans="1:4" ht="44" customHeight="1" x14ac:dyDescent="0.4">
      <c r="A10" s="467" t="s">
        <v>453</v>
      </c>
      <c r="B10" s="477">
        <v>1.1000000000000001</v>
      </c>
      <c r="C10" s="486" t="s">
        <v>467</v>
      </c>
      <c r="D10" s="466" t="s">
        <v>459</v>
      </c>
    </row>
    <row r="11" spans="1:4" ht="44" customHeight="1" x14ac:dyDescent="0.4">
      <c r="A11" s="467" t="s">
        <v>452</v>
      </c>
      <c r="B11" s="477">
        <v>1.7</v>
      </c>
      <c r="C11" s="486" t="s">
        <v>467</v>
      </c>
      <c r="D11" s="466" t="s">
        <v>464</v>
      </c>
    </row>
    <row r="12" spans="1:4" ht="44" customHeight="1" x14ac:dyDescent="0.4">
      <c r="A12" s="467" t="s">
        <v>450</v>
      </c>
      <c r="B12" s="478">
        <v>7.2</v>
      </c>
      <c r="C12" s="487" t="s">
        <v>467</v>
      </c>
      <c r="D12" s="466" t="s">
        <v>456</v>
      </c>
    </row>
  </sheetData>
  <mergeCells count="2">
    <mergeCell ref="A1:D1"/>
    <mergeCell ref="B2:C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A18C-C801-4AF4-A5F4-D4CB0C650A4B}">
  <sheetPr codeName="Sheet7"/>
  <dimension ref="A1:P26"/>
  <sheetViews>
    <sheetView workbookViewId="0"/>
  </sheetViews>
  <sheetFormatPr defaultRowHeight="13.9" x14ac:dyDescent="0.4"/>
  <cols>
    <col min="1" max="1" width="16.59765625" style="1" customWidth="1"/>
    <col min="4" max="4" width="14.59765625" style="34" customWidth="1"/>
    <col min="5" max="5" width="14.59765625" style="152" customWidth="1"/>
    <col min="6" max="6" width="12.59765625" style="152" customWidth="1"/>
    <col min="7" max="7" width="12.59765625" style="151" customWidth="1"/>
    <col min="8" max="16" width="12.19921875" customWidth="1"/>
  </cols>
  <sheetData>
    <row r="1" spans="1:16" ht="54" customHeight="1" x14ac:dyDescent="0.4">
      <c r="A1" s="149"/>
      <c r="B1" s="565" t="s">
        <v>221</v>
      </c>
      <c r="C1" s="565"/>
      <c r="D1" s="564" t="s">
        <v>224</v>
      </c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</row>
    <row r="2" spans="1:16" ht="36" customHeight="1" x14ac:dyDescent="0.4">
      <c r="A2" s="566" t="s">
        <v>225</v>
      </c>
      <c r="B2" s="566" t="s">
        <v>21</v>
      </c>
      <c r="C2" s="566" t="s">
        <v>222</v>
      </c>
      <c r="D2" s="568" t="s">
        <v>208</v>
      </c>
      <c r="E2" s="570" t="s">
        <v>209</v>
      </c>
      <c r="F2" s="563" t="s">
        <v>226</v>
      </c>
      <c r="G2" s="563"/>
      <c r="H2" s="560" t="s">
        <v>34</v>
      </c>
      <c r="I2" s="561"/>
      <c r="J2" s="562"/>
      <c r="K2" s="572" t="s">
        <v>23</v>
      </c>
      <c r="L2" s="573"/>
      <c r="M2" s="574"/>
      <c r="N2" s="560" t="s">
        <v>24</v>
      </c>
      <c r="O2" s="561"/>
      <c r="P2" s="562"/>
    </row>
    <row r="3" spans="1:16" ht="44" customHeight="1" x14ac:dyDescent="0.4">
      <c r="A3" s="567"/>
      <c r="B3" s="567"/>
      <c r="C3" s="567"/>
      <c r="D3" s="569"/>
      <c r="E3" s="571"/>
      <c r="F3" s="120" t="s">
        <v>314</v>
      </c>
      <c r="G3" s="120" t="s">
        <v>315</v>
      </c>
      <c r="H3" s="239" t="s">
        <v>311</v>
      </c>
      <c r="I3" s="240" t="s">
        <v>312</v>
      </c>
      <c r="J3" s="241" t="s">
        <v>313</v>
      </c>
      <c r="K3" s="239" t="s">
        <v>311</v>
      </c>
      <c r="L3" s="240" t="s">
        <v>312</v>
      </c>
      <c r="M3" s="241" t="s">
        <v>313</v>
      </c>
      <c r="N3" s="239" t="s">
        <v>311</v>
      </c>
      <c r="O3" s="240" t="s">
        <v>312</v>
      </c>
      <c r="P3" s="241" t="s">
        <v>313</v>
      </c>
    </row>
    <row r="4" spans="1:16" ht="46.05" customHeight="1" x14ac:dyDescent="0.4">
      <c r="A4" s="150">
        <v>51186</v>
      </c>
      <c r="B4" s="148">
        <v>47.17</v>
      </c>
      <c r="C4" s="148">
        <v>90.09</v>
      </c>
      <c r="D4" s="154" t="s">
        <v>212</v>
      </c>
      <c r="E4" s="155" t="s">
        <v>210</v>
      </c>
      <c r="F4" s="153" t="s">
        <v>272</v>
      </c>
      <c r="G4" s="157" t="s">
        <v>273</v>
      </c>
      <c r="H4" s="160">
        <v>-18.399999999999999</v>
      </c>
      <c r="I4" s="161">
        <v>-47.7</v>
      </c>
      <c r="J4" s="194">
        <v>4.0999999999999996</v>
      </c>
      <c r="K4" s="195">
        <v>-21.4</v>
      </c>
      <c r="L4" s="213">
        <v>-49.7</v>
      </c>
      <c r="M4" s="214">
        <v>3.1</v>
      </c>
      <c r="N4" s="231">
        <v>-16.3</v>
      </c>
      <c r="O4" s="232">
        <v>-46.7</v>
      </c>
      <c r="P4" s="182">
        <v>6.3</v>
      </c>
    </row>
    <row r="5" spans="1:16" ht="46.05" customHeight="1" x14ac:dyDescent="0.4">
      <c r="A5" s="150" t="s">
        <v>260</v>
      </c>
      <c r="B5" s="148">
        <v>44.74235556</v>
      </c>
      <c r="C5" s="148">
        <v>128.42712220000001</v>
      </c>
      <c r="D5" s="154" t="s">
        <v>319</v>
      </c>
      <c r="E5" s="155" t="s">
        <v>258</v>
      </c>
      <c r="F5" s="153" t="s">
        <v>301</v>
      </c>
      <c r="G5" s="157" t="s">
        <v>302</v>
      </c>
      <c r="H5" s="186">
        <v>-15.8</v>
      </c>
      <c r="I5" s="187">
        <v>-39.799999999999997</v>
      </c>
      <c r="J5" s="209">
        <v>8.5</v>
      </c>
      <c r="K5" s="166">
        <v>-18.7</v>
      </c>
      <c r="L5" s="191">
        <v>-41</v>
      </c>
      <c r="M5" s="208">
        <v>4.2</v>
      </c>
      <c r="N5" s="190">
        <v>-13.7</v>
      </c>
      <c r="O5" s="222">
        <v>-44.1</v>
      </c>
      <c r="P5" s="215">
        <v>9</v>
      </c>
    </row>
    <row r="6" spans="1:16" ht="46.05" customHeight="1" x14ac:dyDescent="0.4">
      <c r="A6" s="150" t="s">
        <v>251</v>
      </c>
      <c r="B6" s="148">
        <v>66.165430509999993</v>
      </c>
      <c r="C6" s="148">
        <v>29.151479219999999</v>
      </c>
      <c r="D6" s="242" t="s">
        <v>252</v>
      </c>
      <c r="E6" s="155" t="s">
        <v>253</v>
      </c>
      <c r="F6" s="153" t="s">
        <v>297</v>
      </c>
      <c r="G6" s="157" t="s">
        <v>298</v>
      </c>
      <c r="H6" s="179">
        <v>-8.6</v>
      </c>
      <c r="I6" s="181">
        <v>-39</v>
      </c>
      <c r="J6" s="197">
        <v>10</v>
      </c>
      <c r="K6" s="183">
        <v>-11.6</v>
      </c>
      <c r="L6" s="224">
        <v>-45.1</v>
      </c>
      <c r="M6" s="225">
        <v>5</v>
      </c>
      <c r="N6" s="183">
        <v>-11.3</v>
      </c>
      <c r="O6" s="191">
        <v>-40.9</v>
      </c>
      <c r="P6" s="182">
        <v>6</v>
      </c>
    </row>
    <row r="7" spans="1:16" ht="46.05" customHeight="1" x14ac:dyDescent="0.4">
      <c r="A7" s="150" t="s">
        <v>263</v>
      </c>
      <c r="B7" s="148">
        <v>42.00486944</v>
      </c>
      <c r="C7" s="148">
        <v>128.02985279999999</v>
      </c>
      <c r="D7" s="154" t="s">
        <v>257</v>
      </c>
      <c r="E7" s="156" t="s">
        <v>262</v>
      </c>
      <c r="F7" s="153" t="s">
        <v>303</v>
      </c>
      <c r="G7" s="157" t="s">
        <v>304</v>
      </c>
      <c r="H7" s="184">
        <v>-14.7</v>
      </c>
      <c r="I7" s="181">
        <v>-38.9</v>
      </c>
      <c r="J7" s="197">
        <v>10.199999999999999</v>
      </c>
      <c r="K7" s="168">
        <v>-17</v>
      </c>
      <c r="L7" s="227">
        <v>-42</v>
      </c>
      <c r="M7" s="225">
        <v>5.3</v>
      </c>
      <c r="N7" s="190">
        <v>-13.7</v>
      </c>
      <c r="O7" s="227">
        <v>-42</v>
      </c>
      <c r="P7" s="196">
        <v>12</v>
      </c>
    </row>
    <row r="8" spans="1:16" ht="46.05" customHeight="1" x14ac:dyDescent="0.4">
      <c r="A8" s="150">
        <v>47476</v>
      </c>
      <c r="B8" s="148">
        <v>43.696771320000003</v>
      </c>
      <c r="C8" s="148">
        <v>142.9202492</v>
      </c>
      <c r="D8" s="242" t="s">
        <v>316</v>
      </c>
      <c r="E8" s="155" t="s">
        <v>223</v>
      </c>
      <c r="F8" s="153" t="s">
        <v>270</v>
      </c>
      <c r="G8" s="157" t="s">
        <v>271</v>
      </c>
      <c r="H8" s="158">
        <v>-4.5999999999999996</v>
      </c>
      <c r="I8" s="159">
        <v>-25</v>
      </c>
      <c r="J8" s="192">
        <v>13</v>
      </c>
      <c r="K8" s="193">
        <v>-7.5</v>
      </c>
      <c r="L8" s="212">
        <v>-28</v>
      </c>
      <c r="M8" s="182">
        <v>6</v>
      </c>
      <c r="N8" s="169">
        <v>-6.3</v>
      </c>
      <c r="O8" s="230">
        <v>-27</v>
      </c>
      <c r="P8" s="199">
        <v>11</v>
      </c>
    </row>
    <row r="9" spans="1:16" ht="46.05" customHeight="1" x14ac:dyDescent="0.4">
      <c r="A9" s="150" t="s">
        <v>261</v>
      </c>
      <c r="B9" s="148">
        <v>43.411977090000001</v>
      </c>
      <c r="C9" s="148">
        <v>126.65422049999999</v>
      </c>
      <c r="D9" s="154" t="s">
        <v>257</v>
      </c>
      <c r="E9" s="155" t="s">
        <v>234</v>
      </c>
      <c r="F9" s="153" t="s">
        <v>285</v>
      </c>
      <c r="G9" s="157" t="s">
        <v>286</v>
      </c>
      <c r="H9" s="173">
        <v>-12.1</v>
      </c>
      <c r="I9" s="174">
        <v>-36</v>
      </c>
      <c r="J9" s="204">
        <v>18.600000000000001</v>
      </c>
      <c r="K9" s="186">
        <v>-15.5</v>
      </c>
      <c r="L9" s="191">
        <v>-40.4</v>
      </c>
      <c r="M9" s="182">
        <v>6.3</v>
      </c>
      <c r="N9" s="189">
        <v>-10.4</v>
      </c>
      <c r="O9" s="185">
        <v>-36.9</v>
      </c>
      <c r="P9" s="196">
        <v>12.7</v>
      </c>
    </row>
    <row r="10" spans="1:16" ht="46.05" customHeight="1" x14ac:dyDescent="0.4">
      <c r="A10" s="150" t="s">
        <v>326</v>
      </c>
      <c r="B10" s="148">
        <v>40.953908329999997</v>
      </c>
      <c r="C10" s="148">
        <v>115.39738610000001</v>
      </c>
      <c r="D10" s="154" t="s">
        <v>318</v>
      </c>
      <c r="E10" s="155" t="s">
        <v>259</v>
      </c>
      <c r="F10" s="153" t="s">
        <v>325</v>
      </c>
      <c r="G10" s="157" t="s">
        <v>327</v>
      </c>
      <c r="H10" s="183">
        <v>-11.8</v>
      </c>
      <c r="I10" s="217">
        <v>-34.1</v>
      </c>
      <c r="J10" s="199">
        <v>11.4</v>
      </c>
      <c r="K10" s="190">
        <v>-13.9</v>
      </c>
      <c r="L10" s="244">
        <v>-35.799999999999997</v>
      </c>
      <c r="M10" s="215">
        <v>9.9</v>
      </c>
      <c r="N10" s="243">
        <v>-9.5</v>
      </c>
      <c r="O10" s="216">
        <v>-32.4</v>
      </c>
      <c r="P10" s="245">
        <v>15.3</v>
      </c>
    </row>
    <row r="11" spans="1:16" ht="46.05" customHeight="1" x14ac:dyDescent="0.4">
      <c r="A11" s="150" t="s">
        <v>269</v>
      </c>
      <c r="B11" s="148">
        <v>51.49809441</v>
      </c>
      <c r="C11" s="148">
        <v>104.1092043</v>
      </c>
      <c r="D11" s="242" t="s">
        <v>93</v>
      </c>
      <c r="E11" s="155" t="s">
        <v>321</v>
      </c>
      <c r="F11" s="153" t="s">
        <v>309</v>
      </c>
      <c r="G11" s="157" t="s">
        <v>310</v>
      </c>
      <c r="H11" s="184">
        <v>-14.5</v>
      </c>
      <c r="I11" s="181">
        <v>-38.799999999999997</v>
      </c>
      <c r="J11" s="211">
        <v>7.3</v>
      </c>
      <c r="K11" s="168">
        <v>-16.3</v>
      </c>
      <c r="L11" s="187">
        <v>-39.6</v>
      </c>
      <c r="M11" s="211">
        <v>7.7</v>
      </c>
      <c r="N11" s="190">
        <v>-14</v>
      </c>
      <c r="O11" s="226">
        <v>-37.799999999999997</v>
      </c>
      <c r="P11" s="215">
        <v>9.8000000000000007</v>
      </c>
    </row>
    <row r="12" spans="1:16" ht="46.05" customHeight="1" x14ac:dyDescent="0.4">
      <c r="A12" s="150" t="s">
        <v>267</v>
      </c>
      <c r="B12" s="148">
        <v>56.055607889999997</v>
      </c>
      <c r="C12" s="148">
        <v>160.6414211</v>
      </c>
      <c r="D12" s="242" t="s">
        <v>320</v>
      </c>
      <c r="E12" s="155" t="s">
        <v>268</v>
      </c>
      <c r="F12" s="153" t="s">
        <v>307</v>
      </c>
      <c r="G12" s="157" t="s">
        <v>308</v>
      </c>
      <c r="H12" s="190">
        <v>-13.5</v>
      </c>
      <c r="I12" s="191">
        <v>-41</v>
      </c>
      <c r="J12" s="197">
        <v>10</v>
      </c>
      <c r="K12" s="186">
        <v>-15.8</v>
      </c>
      <c r="L12" s="229">
        <v>-46.1</v>
      </c>
      <c r="M12" s="209">
        <v>8</v>
      </c>
      <c r="N12" s="190">
        <v>-13.1</v>
      </c>
      <c r="O12" s="227">
        <v>-41.1</v>
      </c>
      <c r="P12" s="214">
        <v>3.9</v>
      </c>
    </row>
    <row r="13" spans="1:16" ht="46.05" customHeight="1" x14ac:dyDescent="0.4">
      <c r="A13" s="150">
        <v>71756</v>
      </c>
      <c r="B13" s="148">
        <v>50.081224560000003</v>
      </c>
      <c r="C13" s="148">
        <v>-122.871031</v>
      </c>
      <c r="D13" s="242" t="s">
        <v>213</v>
      </c>
      <c r="E13" s="155" t="s">
        <v>322</v>
      </c>
      <c r="F13" s="153" t="s">
        <v>274</v>
      </c>
      <c r="G13" s="157" t="s">
        <v>275</v>
      </c>
      <c r="H13" s="162">
        <v>-1.6</v>
      </c>
      <c r="I13" s="163">
        <v>-22</v>
      </c>
      <c r="J13" s="196">
        <v>12.2</v>
      </c>
      <c r="K13" s="164">
        <v>-2.7</v>
      </c>
      <c r="L13" s="163">
        <v>-22</v>
      </c>
      <c r="M13" s="215">
        <v>9.8000000000000007</v>
      </c>
      <c r="N13" s="162">
        <v>-1.5</v>
      </c>
      <c r="O13" s="233">
        <v>-18</v>
      </c>
      <c r="P13" s="192">
        <v>13</v>
      </c>
    </row>
    <row r="14" spans="1:16" ht="46.05" customHeight="1" x14ac:dyDescent="0.4">
      <c r="A14" s="150" t="s">
        <v>227</v>
      </c>
      <c r="B14" s="148">
        <v>68.418067989999997</v>
      </c>
      <c r="C14" s="148">
        <v>17.51569026</v>
      </c>
      <c r="D14" s="242" t="s">
        <v>214</v>
      </c>
      <c r="E14" s="155" t="s">
        <v>215</v>
      </c>
      <c r="F14" s="153" t="s">
        <v>276</v>
      </c>
      <c r="G14" s="157" t="s">
        <v>277</v>
      </c>
      <c r="H14" s="164">
        <v>-2.5</v>
      </c>
      <c r="I14" s="165">
        <v>-26</v>
      </c>
      <c r="J14" s="197">
        <v>10</v>
      </c>
      <c r="K14" s="198">
        <v>-3.8</v>
      </c>
      <c r="L14" s="216">
        <v>-33</v>
      </c>
      <c r="M14" s="197">
        <v>10</v>
      </c>
      <c r="N14" s="198">
        <v>-3.9</v>
      </c>
      <c r="O14" s="165">
        <v>-26</v>
      </c>
      <c r="P14" s="215">
        <v>9</v>
      </c>
    </row>
    <row r="15" spans="1:16" ht="46.05" customHeight="1" x14ac:dyDescent="0.4">
      <c r="A15" s="150" t="s">
        <v>250</v>
      </c>
      <c r="B15" s="148">
        <v>46.538798130000004</v>
      </c>
      <c r="C15" s="148">
        <v>11.75238661</v>
      </c>
      <c r="D15" s="242" t="s">
        <v>248</v>
      </c>
      <c r="E15" s="155" t="s">
        <v>249</v>
      </c>
      <c r="F15" s="153" t="s">
        <v>247</v>
      </c>
      <c r="G15" s="157" t="s">
        <v>296</v>
      </c>
      <c r="H15" s="164">
        <v>-2.9</v>
      </c>
      <c r="I15" s="166">
        <v>-19</v>
      </c>
      <c r="J15" s="196">
        <v>12</v>
      </c>
      <c r="K15" s="198">
        <v>-3.9</v>
      </c>
      <c r="L15" s="221">
        <v>-23.2</v>
      </c>
      <c r="M15" s="197">
        <v>10.199999999999999</v>
      </c>
      <c r="N15" s="198">
        <v>-4</v>
      </c>
      <c r="O15" s="163">
        <v>-21.1</v>
      </c>
      <c r="P15" s="206">
        <v>19.8</v>
      </c>
    </row>
    <row r="16" spans="1:16" ht="46.05" customHeight="1" x14ac:dyDescent="0.4">
      <c r="A16" s="150" t="s">
        <v>240</v>
      </c>
      <c r="B16" s="148">
        <v>43.269696240000002</v>
      </c>
      <c r="C16" s="148">
        <v>20.82441279</v>
      </c>
      <c r="D16" s="242" t="s">
        <v>241</v>
      </c>
      <c r="E16" s="155" t="s">
        <v>323</v>
      </c>
      <c r="F16" s="153" t="s">
        <v>242</v>
      </c>
      <c r="G16" s="157" t="s">
        <v>291</v>
      </c>
      <c r="H16" s="164">
        <v>-3</v>
      </c>
      <c r="I16" s="177">
        <v>-20.399999999999999</v>
      </c>
      <c r="J16" s="201">
        <v>16.3</v>
      </c>
      <c r="K16" s="158">
        <v>-4.4000000000000004</v>
      </c>
      <c r="L16" s="159">
        <v>-24.8</v>
      </c>
      <c r="M16" s="196">
        <v>12.7</v>
      </c>
      <c r="N16" s="158">
        <v>-4.2</v>
      </c>
      <c r="O16" s="159">
        <v>-24.2</v>
      </c>
      <c r="P16" s="223">
        <v>14.5</v>
      </c>
    </row>
    <row r="17" spans="1:16" ht="46.05" customHeight="1" x14ac:dyDescent="0.4">
      <c r="A17" s="150" t="s">
        <v>231</v>
      </c>
      <c r="B17" s="148">
        <v>39.606351070000002</v>
      </c>
      <c r="C17" s="148">
        <v>-106.3323225</v>
      </c>
      <c r="D17" s="242" t="s">
        <v>211</v>
      </c>
      <c r="E17" s="155" t="s">
        <v>230</v>
      </c>
      <c r="F17" s="153" t="s">
        <v>281</v>
      </c>
      <c r="G17" s="157" t="s">
        <v>282</v>
      </c>
      <c r="H17" s="169">
        <v>-6.1</v>
      </c>
      <c r="I17" s="170">
        <v>-34</v>
      </c>
      <c r="J17" s="201">
        <v>16.100000000000001</v>
      </c>
      <c r="K17" s="169">
        <v>-6.3</v>
      </c>
      <c r="L17" s="217">
        <v>-35</v>
      </c>
      <c r="M17" s="192">
        <v>13.3</v>
      </c>
      <c r="N17" s="164">
        <v>-2.9</v>
      </c>
      <c r="O17" s="226">
        <v>-37.1</v>
      </c>
      <c r="P17" s="204">
        <v>18.3</v>
      </c>
    </row>
    <row r="18" spans="1:16" ht="46.05" customHeight="1" x14ac:dyDescent="0.4">
      <c r="A18" s="150" t="s">
        <v>228</v>
      </c>
      <c r="B18" s="148">
        <v>45.924297299999999</v>
      </c>
      <c r="C18" s="148">
        <v>7.7350635780000001</v>
      </c>
      <c r="D18" s="242" t="s">
        <v>216</v>
      </c>
      <c r="E18" s="155" t="s">
        <v>218</v>
      </c>
      <c r="F18" s="153" t="s">
        <v>217</v>
      </c>
      <c r="G18" s="157" t="s">
        <v>278</v>
      </c>
      <c r="H18" s="164">
        <v>-3</v>
      </c>
      <c r="I18" s="166">
        <v>-18.2</v>
      </c>
      <c r="J18" s="199">
        <v>11.7</v>
      </c>
      <c r="K18" s="198">
        <v>-4</v>
      </c>
      <c r="L18" s="178">
        <v>-19.2</v>
      </c>
      <c r="M18" s="192">
        <v>13.4</v>
      </c>
      <c r="N18" s="198">
        <v>-3.4</v>
      </c>
      <c r="O18" s="234">
        <v>-22.2</v>
      </c>
      <c r="P18" s="223">
        <v>14.8</v>
      </c>
    </row>
    <row r="19" spans="1:16" ht="46.05" customHeight="1" x14ac:dyDescent="0.4">
      <c r="A19" s="150" t="s">
        <v>245</v>
      </c>
      <c r="B19" s="148">
        <v>52.78945581</v>
      </c>
      <c r="C19" s="148">
        <v>-118.12670660000001</v>
      </c>
      <c r="D19" s="242" t="s">
        <v>213</v>
      </c>
      <c r="E19" s="155" t="s">
        <v>246</v>
      </c>
      <c r="F19" s="153" t="s">
        <v>294</v>
      </c>
      <c r="G19" s="157" t="s">
        <v>295</v>
      </c>
      <c r="H19" s="179">
        <v>-8.9</v>
      </c>
      <c r="I19" s="180">
        <v>-43.2</v>
      </c>
      <c r="J19" s="197">
        <v>10.1</v>
      </c>
      <c r="K19" s="179">
        <v>-8.9</v>
      </c>
      <c r="L19" s="222">
        <v>-44.8</v>
      </c>
      <c r="M19" s="223">
        <v>14.7</v>
      </c>
      <c r="N19" s="169">
        <v>-6.5</v>
      </c>
      <c r="O19" s="187">
        <v>-39.6</v>
      </c>
      <c r="P19" s="238">
        <v>15</v>
      </c>
    </row>
    <row r="20" spans="1:16" ht="46.05" customHeight="1" x14ac:dyDescent="0.4">
      <c r="A20" s="150" t="s">
        <v>229</v>
      </c>
      <c r="B20" s="148">
        <v>45.281584330000001</v>
      </c>
      <c r="C20" s="148">
        <v>6.6240410399999998</v>
      </c>
      <c r="D20" s="242" t="s">
        <v>219</v>
      </c>
      <c r="E20" s="155" t="s">
        <v>220</v>
      </c>
      <c r="F20" s="153" t="s">
        <v>279</v>
      </c>
      <c r="G20" s="157" t="s">
        <v>280</v>
      </c>
      <c r="H20" s="167">
        <v>1.4</v>
      </c>
      <c r="I20" s="168">
        <v>-17</v>
      </c>
      <c r="J20" s="200">
        <v>20</v>
      </c>
      <c r="K20" s="167">
        <v>1</v>
      </c>
      <c r="L20" s="177">
        <v>-21</v>
      </c>
      <c r="M20" s="201">
        <v>16</v>
      </c>
      <c r="N20" s="188">
        <v>2.2000000000000002</v>
      </c>
      <c r="O20" s="166">
        <v>-18.8</v>
      </c>
      <c r="P20" s="207">
        <v>21.5</v>
      </c>
    </row>
    <row r="21" spans="1:16" ht="46.05" customHeight="1" x14ac:dyDescent="0.4">
      <c r="A21" s="150" t="s">
        <v>244</v>
      </c>
      <c r="B21" s="148">
        <v>47.321046029999998</v>
      </c>
      <c r="C21" s="148">
        <v>12.348357760000001</v>
      </c>
      <c r="D21" s="242" t="s">
        <v>243</v>
      </c>
      <c r="E21" s="155" t="s">
        <v>324</v>
      </c>
      <c r="F21" s="153" t="s">
        <v>292</v>
      </c>
      <c r="G21" s="157" t="s">
        <v>293</v>
      </c>
      <c r="H21" s="164">
        <v>-2.5</v>
      </c>
      <c r="I21" s="178">
        <v>-19.7</v>
      </c>
      <c r="J21" s="201">
        <v>16.2</v>
      </c>
      <c r="K21" s="198">
        <v>-3.3</v>
      </c>
      <c r="L21" s="221">
        <v>-23.7</v>
      </c>
      <c r="M21" s="201">
        <v>16.399999999999999</v>
      </c>
      <c r="N21" s="162">
        <v>-1.6</v>
      </c>
      <c r="O21" s="178">
        <v>-19.7</v>
      </c>
      <c r="P21" s="210">
        <v>22.2</v>
      </c>
    </row>
    <row r="22" spans="1:16" ht="46.05" customHeight="1" x14ac:dyDescent="0.4">
      <c r="A22" s="150" t="s">
        <v>239</v>
      </c>
      <c r="B22" s="148">
        <v>43.113020970000001</v>
      </c>
      <c r="C22" s="148">
        <v>77.110745199999997</v>
      </c>
      <c r="D22" s="242" t="s">
        <v>317</v>
      </c>
      <c r="E22" s="155" t="s">
        <v>238</v>
      </c>
      <c r="F22" s="153" t="s">
        <v>289</v>
      </c>
      <c r="G22" s="157" t="s">
        <v>290</v>
      </c>
      <c r="H22" s="164">
        <v>-2.7</v>
      </c>
      <c r="I22" s="176">
        <v>-31.8</v>
      </c>
      <c r="J22" s="206">
        <v>19.2</v>
      </c>
      <c r="K22" s="158">
        <v>-4.5999999999999996</v>
      </c>
      <c r="L22" s="220">
        <v>-31</v>
      </c>
      <c r="M22" s="201">
        <v>16.8</v>
      </c>
      <c r="N22" s="164">
        <v>-2.4</v>
      </c>
      <c r="O22" s="226">
        <v>-37.700000000000003</v>
      </c>
      <c r="P22" s="207">
        <v>21.9</v>
      </c>
    </row>
    <row r="23" spans="1:16" ht="46.05" customHeight="1" x14ac:dyDescent="0.4">
      <c r="A23" s="150" t="s">
        <v>264</v>
      </c>
      <c r="B23" s="148">
        <v>36.660508329999999</v>
      </c>
      <c r="C23" s="148">
        <v>137.81129999999999</v>
      </c>
      <c r="D23" s="242" t="s">
        <v>265</v>
      </c>
      <c r="E23" s="155" t="s">
        <v>266</v>
      </c>
      <c r="F23" s="153" t="s">
        <v>305</v>
      </c>
      <c r="G23" s="157" t="s">
        <v>306</v>
      </c>
      <c r="H23" s="188">
        <v>2.2999999999999998</v>
      </c>
      <c r="I23" s="189">
        <v>-11</v>
      </c>
      <c r="J23" s="210">
        <v>22</v>
      </c>
      <c r="K23" s="175">
        <v>-0.4</v>
      </c>
      <c r="L23" s="173">
        <v>-12.3</v>
      </c>
      <c r="M23" s="228">
        <v>17</v>
      </c>
      <c r="N23" s="236">
        <v>0.4</v>
      </c>
      <c r="O23" s="173">
        <v>-13</v>
      </c>
      <c r="P23" s="200">
        <v>20.6</v>
      </c>
    </row>
    <row r="24" spans="1:16" ht="46.05" customHeight="1" x14ac:dyDescent="0.4">
      <c r="A24" s="150" t="s">
        <v>237</v>
      </c>
      <c r="B24" s="148">
        <v>42.512283480000001</v>
      </c>
      <c r="C24" s="148">
        <v>44.512528969999998</v>
      </c>
      <c r="D24" s="242" t="s">
        <v>235</v>
      </c>
      <c r="E24" s="155" t="s">
        <v>236</v>
      </c>
      <c r="F24" s="153" t="s">
        <v>287</v>
      </c>
      <c r="G24" s="157" t="s">
        <v>288</v>
      </c>
      <c r="H24" s="175">
        <v>-0.3</v>
      </c>
      <c r="I24" s="159">
        <v>-25</v>
      </c>
      <c r="J24" s="205">
        <v>27.1</v>
      </c>
      <c r="K24" s="162">
        <v>-1.7</v>
      </c>
      <c r="L24" s="212">
        <v>-27.2</v>
      </c>
      <c r="M24" s="200">
        <v>20.2</v>
      </c>
      <c r="N24" s="175">
        <v>-0.8</v>
      </c>
      <c r="O24" s="212">
        <v>-27.8</v>
      </c>
      <c r="P24" s="237">
        <v>23</v>
      </c>
    </row>
    <row r="25" spans="1:16" ht="46.05" customHeight="1" x14ac:dyDescent="0.4">
      <c r="A25" s="150" t="s">
        <v>256</v>
      </c>
      <c r="B25" s="148">
        <v>36.041577279999998</v>
      </c>
      <c r="C25" s="148">
        <v>51.442827889999997</v>
      </c>
      <c r="D25" s="242" t="s">
        <v>254</v>
      </c>
      <c r="E25" s="155" t="s">
        <v>255</v>
      </c>
      <c r="F25" s="153" t="s">
        <v>299</v>
      </c>
      <c r="G25" s="157" t="s">
        <v>300</v>
      </c>
      <c r="H25" s="182">
        <v>6.7</v>
      </c>
      <c r="I25" s="183">
        <v>-11.5</v>
      </c>
      <c r="J25" s="207">
        <v>21.2</v>
      </c>
      <c r="K25" s="208">
        <v>4.9000000000000004</v>
      </c>
      <c r="L25" s="173">
        <v>-13</v>
      </c>
      <c r="M25" s="207">
        <v>21.4</v>
      </c>
      <c r="N25" s="171">
        <v>7.1</v>
      </c>
      <c r="O25" s="235">
        <v>-10</v>
      </c>
      <c r="P25" s="219">
        <v>24.4</v>
      </c>
    </row>
    <row r="26" spans="1:16" ht="46.05" customHeight="1" x14ac:dyDescent="0.4">
      <c r="A26" s="150" t="s">
        <v>232</v>
      </c>
      <c r="B26" s="148">
        <v>43.612185609999997</v>
      </c>
      <c r="C26" s="148">
        <v>40.331428369999998</v>
      </c>
      <c r="D26" s="242" t="s">
        <v>93</v>
      </c>
      <c r="E26" s="155" t="s">
        <v>233</v>
      </c>
      <c r="F26" s="153" t="s">
        <v>283</v>
      </c>
      <c r="G26" s="157" t="s">
        <v>284</v>
      </c>
      <c r="H26" s="171">
        <v>7.5</v>
      </c>
      <c r="I26" s="172">
        <v>-8</v>
      </c>
      <c r="J26" s="202">
        <v>24</v>
      </c>
      <c r="K26" s="203">
        <v>5.8</v>
      </c>
      <c r="L26" s="218">
        <v>-11.2</v>
      </c>
      <c r="M26" s="219">
        <v>24</v>
      </c>
      <c r="N26" s="182">
        <v>6.2</v>
      </c>
      <c r="O26" s="184">
        <v>-15</v>
      </c>
      <c r="P26" s="237">
        <v>23.8</v>
      </c>
    </row>
  </sheetData>
  <sortState xmlns:xlrd2="http://schemas.microsoft.com/office/spreadsheetml/2017/richdata2" ref="A4:P26">
    <sortCondition ref="M4:M26"/>
    <sortCondition descending="1" ref="L4:L26"/>
  </sortState>
  <mergeCells count="11">
    <mergeCell ref="A2:A3"/>
    <mergeCell ref="D2:D3"/>
    <mergeCell ref="E2:E3"/>
    <mergeCell ref="H2:J2"/>
    <mergeCell ref="K2:M2"/>
    <mergeCell ref="N2:P2"/>
    <mergeCell ref="F2:G2"/>
    <mergeCell ref="D1:P1"/>
    <mergeCell ref="B1:C1"/>
    <mergeCell ref="B2:B3"/>
    <mergeCell ref="C2:C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96EE-1131-41B1-838D-EB1301E8890A}">
  <dimension ref="A1:E33"/>
  <sheetViews>
    <sheetView workbookViewId="0">
      <selection sqref="A1:E1"/>
    </sheetView>
  </sheetViews>
  <sheetFormatPr defaultRowHeight="44.65" x14ac:dyDescent="0.4"/>
  <cols>
    <col min="1" max="1" width="16.59765625" style="34" customWidth="1"/>
    <col min="2" max="2" width="24.59765625" style="490" customWidth="1"/>
    <col min="3" max="3" width="32.59765625" style="112" customWidth="1"/>
    <col min="4" max="4" width="24.59765625" style="492" customWidth="1"/>
    <col min="5" max="5" width="18.59765625" style="492" customWidth="1"/>
  </cols>
  <sheetData>
    <row r="1" spans="1:5" ht="54" customHeight="1" x14ac:dyDescent="0.4">
      <c r="A1" s="517" t="s">
        <v>475</v>
      </c>
      <c r="B1" s="518"/>
      <c r="C1" s="518"/>
      <c r="D1" s="518"/>
      <c r="E1" s="519"/>
    </row>
    <row r="2" spans="1:5" ht="46.05" customHeight="1" x14ac:dyDescent="0.4">
      <c r="A2" s="504" t="s">
        <v>454</v>
      </c>
      <c r="B2" s="126" t="s">
        <v>209</v>
      </c>
      <c r="C2" s="503" t="s">
        <v>143</v>
      </c>
      <c r="D2" s="120" t="s">
        <v>514</v>
      </c>
      <c r="E2" s="126" t="s">
        <v>473</v>
      </c>
    </row>
    <row r="3" spans="1:5" ht="46.05" customHeight="1" x14ac:dyDescent="0.4">
      <c r="A3" s="522" t="s">
        <v>474</v>
      </c>
      <c r="B3" s="520" t="s">
        <v>210</v>
      </c>
      <c r="C3" s="502">
        <v>-52.3</v>
      </c>
      <c r="D3" s="510" t="s">
        <v>476</v>
      </c>
      <c r="E3" s="493">
        <v>27</v>
      </c>
    </row>
    <row r="4" spans="1:5" ht="46.05" customHeight="1" x14ac:dyDescent="0.4">
      <c r="A4" s="523"/>
      <c r="B4" s="521"/>
      <c r="C4" s="497">
        <v>-51.5</v>
      </c>
      <c r="D4" s="510" t="s">
        <v>515</v>
      </c>
      <c r="E4" s="493">
        <v>25</v>
      </c>
    </row>
    <row r="5" spans="1:5" ht="46.05" customHeight="1" x14ac:dyDescent="0.4">
      <c r="A5" s="506" t="s">
        <v>516</v>
      </c>
      <c r="B5" s="509" t="s">
        <v>517</v>
      </c>
      <c r="C5" s="497">
        <v>-51.2</v>
      </c>
      <c r="D5" s="510" t="s">
        <v>519</v>
      </c>
      <c r="E5" s="493" t="s">
        <v>518</v>
      </c>
    </row>
    <row r="6" spans="1:5" ht="46.05" customHeight="1" x14ac:dyDescent="0.4">
      <c r="A6" s="506" t="s">
        <v>320</v>
      </c>
      <c r="B6" s="508" t="s">
        <v>521</v>
      </c>
      <c r="C6" s="494">
        <v>-48.6</v>
      </c>
      <c r="D6" s="510" t="s">
        <v>486</v>
      </c>
      <c r="E6" s="493">
        <v>31</v>
      </c>
    </row>
    <row r="7" spans="1:5" ht="46.05" customHeight="1" x14ac:dyDescent="0.4">
      <c r="A7" s="506" t="s">
        <v>510</v>
      </c>
      <c r="B7" s="509" t="s">
        <v>230</v>
      </c>
      <c r="C7" s="494">
        <v>-48.3</v>
      </c>
      <c r="D7" s="510" t="s">
        <v>493</v>
      </c>
      <c r="E7" s="493">
        <v>40</v>
      </c>
    </row>
    <row r="8" spans="1:5" ht="46.05" customHeight="1" x14ac:dyDescent="0.4">
      <c r="A8" s="507" t="s">
        <v>252</v>
      </c>
      <c r="B8" s="509" t="s">
        <v>253</v>
      </c>
      <c r="C8" s="494">
        <v>-48</v>
      </c>
      <c r="D8" s="511" t="s">
        <v>524</v>
      </c>
      <c r="E8" s="493">
        <v>24</v>
      </c>
    </row>
    <row r="9" spans="1:5" ht="46.05" customHeight="1" x14ac:dyDescent="0.4">
      <c r="A9" s="506" t="s">
        <v>474</v>
      </c>
      <c r="B9" s="491" t="s">
        <v>523</v>
      </c>
      <c r="C9" s="494">
        <v>-47.7</v>
      </c>
      <c r="D9" s="510" t="s">
        <v>481</v>
      </c>
      <c r="E9" s="493">
        <v>35</v>
      </c>
    </row>
    <row r="10" spans="1:5" ht="46.05" customHeight="1" x14ac:dyDescent="0.4">
      <c r="A10" s="506" t="s">
        <v>513</v>
      </c>
      <c r="B10" s="509" t="s">
        <v>246</v>
      </c>
      <c r="C10" s="494">
        <v>-47.2</v>
      </c>
      <c r="D10" s="510" t="s">
        <v>495</v>
      </c>
      <c r="E10" s="493">
        <v>11</v>
      </c>
    </row>
    <row r="11" spans="1:5" ht="46.05" customHeight="1" x14ac:dyDescent="0.4">
      <c r="A11" s="506" t="s">
        <v>503</v>
      </c>
      <c r="B11" s="508" t="s">
        <v>504</v>
      </c>
      <c r="C11" s="494">
        <v>-46.1</v>
      </c>
      <c r="D11" s="510" t="s">
        <v>506</v>
      </c>
      <c r="E11" s="493">
        <v>45</v>
      </c>
    </row>
    <row r="12" spans="1:5" ht="46.05" customHeight="1" x14ac:dyDescent="0.4">
      <c r="A12" s="507" t="s">
        <v>257</v>
      </c>
      <c r="B12" s="491" t="s">
        <v>234</v>
      </c>
      <c r="C12" s="494">
        <v>-45</v>
      </c>
      <c r="D12" s="510" t="s">
        <v>483</v>
      </c>
      <c r="E12" s="493">
        <v>49</v>
      </c>
    </row>
    <row r="13" spans="1:5" ht="46.05" customHeight="1" x14ac:dyDescent="0.4">
      <c r="A13" s="507" t="s">
        <v>257</v>
      </c>
      <c r="B13" s="491" t="s">
        <v>520</v>
      </c>
      <c r="C13" s="495">
        <v>-44.2</v>
      </c>
      <c r="D13" s="510" t="s">
        <v>480</v>
      </c>
      <c r="E13" s="493">
        <v>4</v>
      </c>
    </row>
    <row r="14" spans="1:5" ht="46.05" customHeight="1" x14ac:dyDescent="0.4">
      <c r="A14" s="506" t="s">
        <v>350</v>
      </c>
      <c r="B14" s="491" t="s">
        <v>258</v>
      </c>
      <c r="C14" s="495">
        <v>-44.1</v>
      </c>
      <c r="D14" s="510" t="s">
        <v>479</v>
      </c>
      <c r="E14" s="505">
        <v>62</v>
      </c>
    </row>
    <row r="15" spans="1:5" ht="46.05" customHeight="1" x14ac:dyDescent="0.4">
      <c r="A15" s="506" t="s">
        <v>474</v>
      </c>
      <c r="B15" s="491" t="s">
        <v>477</v>
      </c>
      <c r="C15" s="495">
        <v>-43.5</v>
      </c>
      <c r="D15" s="510" t="s">
        <v>478</v>
      </c>
      <c r="E15" s="493">
        <v>12</v>
      </c>
    </row>
    <row r="16" spans="1:5" ht="46.05" customHeight="1" x14ac:dyDescent="0.4">
      <c r="A16" s="506" t="s">
        <v>511</v>
      </c>
      <c r="B16" s="509" t="s">
        <v>507</v>
      </c>
      <c r="C16" s="495">
        <v>-42.8</v>
      </c>
      <c r="D16" s="510" t="s">
        <v>508</v>
      </c>
      <c r="E16" s="493">
        <v>28</v>
      </c>
    </row>
    <row r="17" spans="1:5" ht="46.05" customHeight="1" x14ac:dyDescent="0.4">
      <c r="A17" s="507" t="s">
        <v>257</v>
      </c>
      <c r="B17" s="491" t="s">
        <v>529</v>
      </c>
      <c r="C17" s="495">
        <v>-42.5</v>
      </c>
      <c r="D17" s="510" t="s">
        <v>530</v>
      </c>
      <c r="E17" s="493">
        <v>23</v>
      </c>
    </row>
    <row r="18" spans="1:5" ht="46.05" customHeight="1" x14ac:dyDescent="0.4">
      <c r="A18" s="506" t="s">
        <v>316</v>
      </c>
      <c r="B18" s="509" t="s">
        <v>223</v>
      </c>
      <c r="C18" s="495">
        <v>-41</v>
      </c>
      <c r="D18" s="510" t="s">
        <v>482</v>
      </c>
      <c r="E18" s="493">
        <v>45</v>
      </c>
    </row>
    <row r="19" spans="1:5" ht="46.05" customHeight="1" x14ac:dyDescent="0.4">
      <c r="A19" s="506" t="s">
        <v>487</v>
      </c>
      <c r="B19" s="509" t="s">
        <v>488</v>
      </c>
      <c r="C19" s="495">
        <v>-40</v>
      </c>
      <c r="D19" s="511" t="s">
        <v>525</v>
      </c>
      <c r="E19" s="493">
        <v>41</v>
      </c>
    </row>
    <row r="20" spans="1:5" ht="46.05" customHeight="1" x14ac:dyDescent="0.4">
      <c r="A20" s="506" t="s">
        <v>485</v>
      </c>
      <c r="B20" s="508" t="s">
        <v>484</v>
      </c>
      <c r="C20" s="496">
        <v>-39.6</v>
      </c>
      <c r="D20" s="512" t="s">
        <v>526</v>
      </c>
      <c r="E20" s="493">
        <v>35</v>
      </c>
    </row>
    <row r="21" spans="1:5" ht="46.05" customHeight="1" x14ac:dyDescent="0.4">
      <c r="A21" s="506" t="s">
        <v>510</v>
      </c>
      <c r="B21" s="509" t="s">
        <v>509</v>
      </c>
      <c r="C21" s="496">
        <v>-39.4</v>
      </c>
      <c r="D21" s="510" t="s">
        <v>512</v>
      </c>
      <c r="E21" s="493">
        <v>17</v>
      </c>
    </row>
    <row r="22" spans="1:5" ht="46.05" customHeight="1" x14ac:dyDescent="0.4">
      <c r="A22" s="507" t="s">
        <v>497</v>
      </c>
      <c r="B22" s="509" t="s">
        <v>238</v>
      </c>
      <c r="C22" s="496">
        <v>-37.700000000000003</v>
      </c>
      <c r="D22" s="510" t="s">
        <v>498</v>
      </c>
      <c r="E22" s="493">
        <v>20</v>
      </c>
    </row>
    <row r="23" spans="1:5" ht="46.05" customHeight="1" x14ac:dyDescent="0.4">
      <c r="A23" s="507" t="s">
        <v>395</v>
      </c>
      <c r="B23" s="491" t="s">
        <v>259</v>
      </c>
      <c r="C23" s="496">
        <v>-35.799999999999997</v>
      </c>
      <c r="D23" s="510" t="s">
        <v>531</v>
      </c>
      <c r="E23" s="493">
        <v>11</v>
      </c>
    </row>
    <row r="24" spans="1:5" ht="46.05" customHeight="1" x14ac:dyDescent="0.4">
      <c r="A24" s="507" t="s">
        <v>216</v>
      </c>
      <c r="B24" s="509" t="s">
        <v>218</v>
      </c>
      <c r="C24" s="496">
        <v>-35</v>
      </c>
      <c r="D24" s="513" t="s">
        <v>494</v>
      </c>
      <c r="E24" s="493">
        <v>3</v>
      </c>
    </row>
    <row r="25" spans="1:5" ht="46.05" customHeight="1" x14ac:dyDescent="0.4">
      <c r="A25" s="507" t="s">
        <v>214</v>
      </c>
      <c r="B25" s="509" t="s">
        <v>215</v>
      </c>
      <c r="C25" s="498">
        <v>-34.5</v>
      </c>
      <c r="D25" s="510" t="s">
        <v>489</v>
      </c>
      <c r="E25" s="493">
        <v>25</v>
      </c>
    </row>
    <row r="26" spans="1:5" ht="46.05" customHeight="1" x14ac:dyDescent="0.4">
      <c r="A26" s="507" t="s">
        <v>243</v>
      </c>
      <c r="B26" s="509" t="s">
        <v>496</v>
      </c>
      <c r="C26" s="498">
        <v>-31.5</v>
      </c>
      <c r="D26" s="514" t="s">
        <v>527</v>
      </c>
      <c r="E26" s="493">
        <v>36</v>
      </c>
    </row>
    <row r="27" spans="1:5" ht="46.05" customHeight="1" x14ac:dyDescent="0.4">
      <c r="A27" s="507" t="s">
        <v>219</v>
      </c>
      <c r="B27" s="509" t="s">
        <v>220</v>
      </c>
      <c r="C27" s="499">
        <v>-28.4</v>
      </c>
      <c r="D27" s="512" t="s">
        <v>528</v>
      </c>
      <c r="E27" s="505">
        <v>78</v>
      </c>
    </row>
    <row r="28" spans="1:5" ht="46.05" customHeight="1" x14ac:dyDescent="0.4">
      <c r="A28" s="507" t="s">
        <v>235</v>
      </c>
      <c r="B28" s="509" t="s">
        <v>236</v>
      </c>
      <c r="C28" s="499">
        <v>-28</v>
      </c>
      <c r="D28" s="510" t="s">
        <v>500</v>
      </c>
      <c r="E28" s="493">
        <v>21</v>
      </c>
    </row>
    <row r="29" spans="1:5" ht="46.05" customHeight="1" x14ac:dyDescent="0.4">
      <c r="A29" s="507" t="s">
        <v>248</v>
      </c>
      <c r="B29" s="509" t="s">
        <v>522</v>
      </c>
      <c r="C29" s="499">
        <v>-25.2</v>
      </c>
      <c r="D29" s="510" t="s">
        <v>490</v>
      </c>
      <c r="E29" s="493">
        <v>42</v>
      </c>
    </row>
    <row r="30" spans="1:5" ht="46.05" customHeight="1" x14ac:dyDescent="0.4">
      <c r="A30" s="507" t="s">
        <v>241</v>
      </c>
      <c r="B30" s="509" t="s">
        <v>492</v>
      </c>
      <c r="C30" s="500">
        <v>-23.7</v>
      </c>
      <c r="D30" s="510" t="s">
        <v>491</v>
      </c>
      <c r="E30" s="505">
        <v>87</v>
      </c>
    </row>
    <row r="31" spans="1:5" ht="46.05" customHeight="1" x14ac:dyDescent="0.4">
      <c r="A31" s="506" t="s">
        <v>502</v>
      </c>
      <c r="B31" s="508" t="s">
        <v>233</v>
      </c>
      <c r="C31" s="500">
        <v>-22.5</v>
      </c>
      <c r="D31" s="510" t="s">
        <v>501</v>
      </c>
      <c r="E31" s="493">
        <v>11</v>
      </c>
    </row>
    <row r="32" spans="1:5" ht="46.05" customHeight="1" x14ac:dyDescent="0.4">
      <c r="A32" s="506" t="s">
        <v>265</v>
      </c>
      <c r="B32" s="509" t="s">
        <v>266</v>
      </c>
      <c r="C32" s="500">
        <v>-20.7</v>
      </c>
      <c r="D32" s="510" t="s">
        <v>499</v>
      </c>
      <c r="E32" s="493">
        <v>48</v>
      </c>
    </row>
    <row r="33" spans="1:5" ht="46.05" customHeight="1" x14ac:dyDescent="0.4">
      <c r="A33" s="507" t="s">
        <v>254</v>
      </c>
      <c r="B33" s="509" t="s">
        <v>255</v>
      </c>
      <c r="C33" s="501">
        <v>-13</v>
      </c>
      <c r="D33" s="510" t="s">
        <v>505</v>
      </c>
      <c r="E33" s="493">
        <v>41</v>
      </c>
    </row>
  </sheetData>
  <sortState xmlns:xlrd2="http://schemas.microsoft.com/office/spreadsheetml/2017/richdata2" ref="A5:E33">
    <sortCondition ref="C5:C33"/>
    <sortCondition ref="D5:D33"/>
  </sortState>
  <mergeCells count="3">
    <mergeCell ref="A1:E1"/>
    <mergeCell ref="B3:B4"/>
    <mergeCell ref="A3:A4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EFB08-8954-4C25-93EC-A3F4595CD10B}">
  <dimension ref="A1:F33"/>
  <sheetViews>
    <sheetView tabSelected="1" workbookViewId="0">
      <selection sqref="A1:F1"/>
    </sheetView>
  </sheetViews>
  <sheetFormatPr defaultRowHeight="44.65" x14ac:dyDescent="0.4"/>
  <cols>
    <col min="1" max="1" width="16.59765625" style="34" customWidth="1"/>
    <col min="2" max="2" width="24.59765625" style="490" customWidth="1"/>
    <col min="3" max="4" width="24.59765625" style="112" customWidth="1"/>
    <col min="5" max="5" width="26.59765625" style="492" customWidth="1"/>
    <col min="6" max="6" width="18.59765625" style="492" customWidth="1"/>
  </cols>
  <sheetData>
    <row r="1" spans="1:6" ht="54" customHeight="1" x14ac:dyDescent="0.4">
      <c r="A1" s="517" t="s">
        <v>537</v>
      </c>
      <c r="B1" s="518"/>
      <c r="C1" s="518"/>
      <c r="D1" s="518"/>
      <c r="E1" s="518"/>
      <c r="F1" s="519"/>
    </row>
    <row r="2" spans="1:6" ht="46.05" customHeight="1" x14ac:dyDescent="0.4">
      <c r="A2" s="504" t="s">
        <v>454</v>
      </c>
      <c r="B2" s="126" t="s">
        <v>209</v>
      </c>
      <c r="C2" s="575" t="s">
        <v>532</v>
      </c>
      <c r="D2" s="575" t="s">
        <v>533</v>
      </c>
      <c r="E2" s="120" t="s">
        <v>534</v>
      </c>
      <c r="F2" s="126" t="s">
        <v>473</v>
      </c>
    </row>
    <row r="3" spans="1:6" ht="46.05" customHeight="1" x14ac:dyDescent="0.4">
      <c r="A3" s="516" t="s">
        <v>474</v>
      </c>
      <c r="B3" s="515" t="s">
        <v>523</v>
      </c>
      <c r="C3" s="577">
        <v>-45</v>
      </c>
      <c r="D3" s="577">
        <v>-32.54</v>
      </c>
      <c r="E3" s="513" t="s">
        <v>562</v>
      </c>
      <c r="F3" s="493">
        <v>77</v>
      </c>
    </row>
    <row r="4" spans="1:6" ht="46.05" customHeight="1" x14ac:dyDescent="0.4">
      <c r="A4" s="507" t="s">
        <v>257</v>
      </c>
      <c r="B4" s="491" t="s">
        <v>520</v>
      </c>
      <c r="C4" s="578">
        <v>-39.299999999999997</v>
      </c>
      <c r="D4" s="577">
        <v>-31.8</v>
      </c>
      <c r="E4" s="513" t="s">
        <v>561</v>
      </c>
      <c r="F4" s="493">
        <v>4</v>
      </c>
    </row>
    <row r="5" spans="1:6" ht="46.05" customHeight="1" x14ac:dyDescent="0.4">
      <c r="A5" s="507" t="s">
        <v>252</v>
      </c>
      <c r="B5" s="509" t="s">
        <v>253</v>
      </c>
      <c r="C5" s="578">
        <v>-38.83</v>
      </c>
      <c r="D5" s="577">
        <v>-31.82</v>
      </c>
      <c r="E5" s="513" t="s">
        <v>550</v>
      </c>
      <c r="F5" s="493">
        <v>24</v>
      </c>
    </row>
    <row r="6" spans="1:6" ht="46.05" customHeight="1" x14ac:dyDescent="0.4">
      <c r="A6" s="506" t="s">
        <v>474</v>
      </c>
      <c r="B6" s="576" t="s">
        <v>210</v>
      </c>
      <c r="C6" s="578">
        <v>-38.1</v>
      </c>
      <c r="D6" s="579">
        <v>-23.2</v>
      </c>
      <c r="E6" s="513" t="s">
        <v>563</v>
      </c>
      <c r="F6" s="493">
        <v>60</v>
      </c>
    </row>
    <row r="7" spans="1:6" ht="46.05" customHeight="1" x14ac:dyDescent="0.4">
      <c r="A7" s="506" t="s">
        <v>503</v>
      </c>
      <c r="B7" s="508" t="s">
        <v>504</v>
      </c>
      <c r="C7" s="578">
        <v>-37.46</v>
      </c>
      <c r="D7" s="578">
        <v>-25.77</v>
      </c>
      <c r="E7" s="513" t="s">
        <v>551</v>
      </c>
      <c r="F7" s="493">
        <v>61</v>
      </c>
    </row>
    <row r="8" spans="1:6" ht="46.05" customHeight="1" x14ac:dyDescent="0.4">
      <c r="A8" s="506" t="s">
        <v>513</v>
      </c>
      <c r="B8" s="509" t="s">
        <v>246</v>
      </c>
      <c r="C8" s="578">
        <v>-36.450000000000003</v>
      </c>
      <c r="D8" s="579">
        <v>-23.1</v>
      </c>
      <c r="E8" s="513" t="s">
        <v>558</v>
      </c>
      <c r="F8" s="493">
        <v>17</v>
      </c>
    </row>
    <row r="9" spans="1:6" ht="46.05" customHeight="1" x14ac:dyDescent="0.4">
      <c r="A9" s="506" t="s">
        <v>320</v>
      </c>
      <c r="B9" s="508" t="s">
        <v>521</v>
      </c>
      <c r="C9" s="578">
        <v>-35.700000000000003</v>
      </c>
      <c r="D9" s="578">
        <v>-28</v>
      </c>
      <c r="E9" s="513" t="s">
        <v>548</v>
      </c>
      <c r="F9" s="493">
        <v>31</v>
      </c>
    </row>
    <row r="10" spans="1:6" ht="46.05" customHeight="1" x14ac:dyDescent="0.4">
      <c r="A10" s="507" t="s">
        <v>257</v>
      </c>
      <c r="B10" s="491" t="s">
        <v>234</v>
      </c>
      <c r="C10" s="579">
        <v>-34.81</v>
      </c>
      <c r="D10" s="580">
        <v>-18.46</v>
      </c>
      <c r="E10" s="513" t="s">
        <v>564</v>
      </c>
      <c r="F10" s="493">
        <v>49</v>
      </c>
    </row>
    <row r="11" spans="1:6" ht="46.05" customHeight="1" x14ac:dyDescent="0.4">
      <c r="A11" s="506" t="s">
        <v>350</v>
      </c>
      <c r="B11" s="491" t="s">
        <v>258</v>
      </c>
      <c r="C11" s="579">
        <v>-34.67</v>
      </c>
      <c r="D11" s="579">
        <v>-20.84</v>
      </c>
      <c r="E11" s="513" t="s">
        <v>565</v>
      </c>
      <c r="F11" s="493">
        <v>62</v>
      </c>
    </row>
    <row r="12" spans="1:6" ht="46.05" customHeight="1" x14ac:dyDescent="0.4">
      <c r="A12" s="506" t="s">
        <v>474</v>
      </c>
      <c r="B12" s="491" t="s">
        <v>477</v>
      </c>
      <c r="C12" s="579">
        <v>-33.47</v>
      </c>
      <c r="D12" s="579">
        <v>-21.87</v>
      </c>
      <c r="E12" s="513" t="s">
        <v>566</v>
      </c>
      <c r="F12" s="493">
        <v>12</v>
      </c>
    </row>
    <row r="13" spans="1:6" ht="46.05" customHeight="1" x14ac:dyDescent="0.4">
      <c r="A13" s="506" t="s">
        <v>510</v>
      </c>
      <c r="B13" s="509" t="s">
        <v>230</v>
      </c>
      <c r="C13" s="579">
        <v>-33.1</v>
      </c>
      <c r="D13" s="579">
        <v>-21.05</v>
      </c>
      <c r="E13" s="513" t="s">
        <v>567</v>
      </c>
      <c r="F13" s="493">
        <v>42</v>
      </c>
    </row>
    <row r="14" spans="1:6" ht="46.05" customHeight="1" x14ac:dyDescent="0.4">
      <c r="A14" s="506" t="s">
        <v>536</v>
      </c>
      <c r="B14" s="508" t="s">
        <v>535</v>
      </c>
      <c r="C14" s="579">
        <v>-32.6</v>
      </c>
      <c r="D14" s="578">
        <v>-25.08</v>
      </c>
      <c r="E14" s="513" t="s">
        <v>549</v>
      </c>
      <c r="F14" s="493">
        <v>80</v>
      </c>
    </row>
    <row r="15" spans="1:6" ht="46.05" customHeight="1" x14ac:dyDescent="0.4">
      <c r="A15" s="507" t="s">
        <v>395</v>
      </c>
      <c r="B15" s="491" t="s">
        <v>259</v>
      </c>
      <c r="C15" s="579">
        <v>-32.28</v>
      </c>
      <c r="D15" s="579">
        <v>-20.66</v>
      </c>
      <c r="E15" s="513" t="s">
        <v>568</v>
      </c>
      <c r="F15" s="493">
        <v>82</v>
      </c>
    </row>
    <row r="16" spans="1:6" ht="46.05" customHeight="1" x14ac:dyDescent="0.4">
      <c r="A16" s="506" t="s">
        <v>510</v>
      </c>
      <c r="B16" s="509" t="s">
        <v>509</v>
      </c>
      <c r="C16" s="579">
        <v>-32.200000000000003</v>
      </c>
      <c r="D16" s="581">
        <v>-10.42</v>
      </c>
      <c r="E16" s="513" t="s">
        <v>556</v>
      </c>
      <c r="F16" s="493">
        <v>17</v>
      </c>
    </row>
    <row r="17" spans="1:6" ht="46.05" customHeight="1" x14ac:dyDescent="0.4">
      <c r="A17" s="507" t="s">
        <v>257</v>
      </c>
      <c r="B17" s="491" t="s">
        <v>529</v>
      </c>
      <c r="C17" s="579">
        <v>-32.15</v>
      </c>
      <c r="D17" s="580">
        <v>-18.98</v>
      </c>
      <c r="E17" s="513" t="s">
        <v>569</v>
      </c>
      <c r="F17" s="493">
        <v>23</v>
      </c>
    </row>
    <row r="18" spans="1:6" ht="46.05" customHeight="1" x14ac:dyDescent="0.4">
      <c r="A18" s="506" t="s">
        <v>485</v>
      </c>
      <c r="B18" s="508" t="s">
        <v>484</v>
      </c>
      <c r="C18" s="579">
        <v>-32.08</v>
      </c>
      <c r="D18" s="579">
        <v>-23.23</v>
      </c>
      <c r="E18" s="513" t="s">
        <v>555</v>
      </c>
      <c r="F18" s="493">
        <v>35</v>
      </c>
    </row>
    <row r="19" spans="1:6" ht="46.05" customHeight="1" x14ac:dyDescent="0.4">
      <c r="A19" s="506" t="s">
        <v>487</v>
      </c>
      <c r="B19" s="509" t="s">
        <v>517</v>
      </c>
      <c r="C19" s="580">
        <v>-29.2</v>
      </c>
      <c r="D19" s="579">
        <v>-23.1</v>
      </c>
      <c r="E19" s="513" t="s">
        <v>547</v>
      </c>
      <c r="F19" s="493" t="s">
        <v>518</v>
      </c>
    </row>
    <row r="20" spans="1:6" ht="46.05" customHeight="1" x14ac:dyDescent="0.4">
      <c r="A20" s="507" t="s">
        <v>214</v>
      </c>
      <c r="B20" s="509" t="s">
        <v>215</v>
      </c>
      <c r="C20" s="580">
        <v>-28.99</v>
      </c>
      <c r="D20" s="579">
        <v>-22.51</v>
      </c>
      <c r="E20" s="513" t="s">
        <v>559</v>
      </c>
      <c r="F20" s="493">
        <v>25</v>
      </c>
    </row>
    <row r="21" spans="1:6" ht="46.05" customHeight="1" x14ac:dyDescent="0.4">
      <c r="A21" s="506" t="s">
        <v>316</v>
      </c>
      <c r="B21" s="509" t="s">
        <v>223</v>
      </c>
      <c r="C21" s="580">
        <v>-24.98</v>
      </c>
      <c r="D21" s="581">
        <v>-12.2</v>
      </c>
      <c r="E21" s="513" t="s">
        <v>553</v>
      </c>
      <c r="F21" s="493">
        <v>45</v>
      </c>
    </row>
    <row r="22" spans="1:6" ht="46.05" customHeight="1" x14ac:dyDescent="0.4">
      <c r="A22" s="506" t="s">
        <v>511</v>
      </c>
      <c r="B22" s="509" t="s">
        <v>507</v>
      </c>
      <c r="C22" s="581">
        <v>-24.73</v>
      </c>
      <c r="D22" s="583">
        <v>-4.82</v>
      </c>
      <c r="E22" s="513" t="s">
        <v>552</v>
      </c>
      <c r="F22" s="493">
        <v>28</v>
      </c>
    </row>
    <row r="23" spans="1:6" ht="46.05" customHeight="1" x14ac:dyDescent="0.4">
      <c r="A23" s="506" t="s">
        <v>487</v>
      </c>
      <c r="B23" s="509" t="s">
        <v>488</v>
      </c>
      <c r="C23" s="581">
        <v>-23.18</v>
      </c>
      <c r="D23" s="580">
        <v>-16.47</v>
      </c>
      <c r="E23" s="513" t="s">
        <v>554</v>
      </c>
      <c r="F23" s="493">
        <v>6</v>
      </c>
    </row>
    <row r="24" spans="1:6" ht="46.05" customHeight="1" x14ac:dyDescent="0.4">
      <c r="A24" s="507" t="s">
        <v>216</v>
      </c>
      <c r="B24" s="509" t="s">
        <v>218</v>
      </c>
      <c r="C24" s="581">
        <v>-20.56</v>
      </c>
      <c r="D24" s="580">
        <v>-15.85</v>
      </c>
      <c r="E24" s="513" t="s">
        <v>545</v>
      </c>
      <c r="F24" s="493">
        <v>44</v>
      </c>
    </row>
    <row r="25" spans="1:6" ht="46.05" customHeight="1" x14ac:dyDescent="0.4">
      <c r="A25" s="507" t="s">
        <v>219</v>
      </c>
      <c r="B25" s="509" t="s">
        <v>220</v>
      </c>
      <c r="C25" s="581">
        <v>-20.56</v>
      </c>
      <c r="D25" s="580">
        <v>-15.85</v>
      </c>
      <c r="E25" s="513" t="s">
        <v>545</v>
      </c>
      <c r="F25" s="493">
        <v>78</v>
      </c>
    </row>
    <row r="26" spans="1:6" ht="46.05" customHeight="1" x14ac:dyDescent="0.4">
      <c r="A26" s="507" t="s">
        <v>243</v>
      </c>
      <c r="B26" s="509" t="s">
        <v>496</v>
      </c>
      <c r="C26" s="581">
        <v>-20.46</v>
      </c>
      <c r="D26" s="582">
        <v>-7.81</v>
      </c>
      <c r="E26" s="513" t="s">
        <v>546</v>
      </c>
      <c r="F26" s="493">
        <v>41</v>
      </c>
    </row>
    <row r="27" spans="1:6" ht="46.05" customHeight="1" x14ac:dyDescent="0.4">
      <c r="A27" s="507" t="s">
        <v>497</v>
      </c>
      <c r="B27" s="509" t="s">
        <v>238</v>
      </c>
      <c r="C27" s="581">
        <v>-20.190000000000001</v>
      </c>
      <c r="D27" s="581">
        <v>-11.44</v>
      </c>
      <c r="E27" s="513" t="s">
        <v>557</v>
      </c>
      <c r="F27" s="493">
        <v>20</v>
      </c>
    </row>
    <row r="28" spans="1:6" ht="46.05" customHeight="1" x14ac:dyDescent="0.4">
      <c r="A28" s="507" t="s">
        <v>235</v>
      </c>
      <c r="B28" s="509" t="s">
        <v>236</v>
      </c>
      <c r="C28" s="582">
        <v>-17.55</v>
      </c>
      <c r="D28" s="582">
        <v>-8.5</v>
      </c>
      <c r="E28" s="513" t="s">
        <v>544</v>
      </c>
      <c r="F28" s="493">
        <v>61</v>
      </c>
    </row>
    <row r="29" spans="1:6" ht="46.05" customHeight="1" x14ac:dyDescent="0.4">
      <c r="A29" s="507" t="s">
        <v>248</v>
      </c>
      <c r="B29" s="509" t="s">
        <v>522</v>
      </c>
      <c r="C29" s="582">
        <v>-17.329999999999998</v>
      </c>
      <c r="D29" s="581">
        <v>-13.42</v>
      </c>
      <c r="E29" s="513" t="s">
        <v>543</v>
      </c>
      <c r="F29" s="493">
        <v>70</v>
      </c>
    </row>
    <row r="30" spans="1:6" ht="46.05" customHeight="1" x14ac:dyDescent="0.4">
      <c r="A30" s="507" t="s">
        <v>241</v>
      </c>
      <c r="B30" s="509" t="s">
        <v>492</v>
      </c>
      <c r="C30" s="583">
        <v>-13.71</v>
      </c>
      <c r="D30" s="582">
        <v>-5.31</v>
      </c>
      <c r="E30" s="513" t="s">
        <v>542</v>
      </c>
      <c r="F30" s="493">
        <v>87</v>
      </c>
    </row>
    <row r="31" spans="1:6" ht="46.05" customHeight="1" x14ac:dyDescent="0.4">
      <c r="A31" s="506" t="s">
        <v>265</v>
      </c>
      <c r="B31" s="509" t="s">
        <v>266</v>
      </c>
      <c r="C31" s="583">
        <v>-13.27</v>
      </c>
      <c r="D31" s="583">
        <v>-2.23</v>
      </c>
      <c r="E31" s="513" t="s">
        <v>560</v>
      </c>
      <c r="F31" s="493">
        <v>48</v>
      </c>
    </row>
    <row r="32" spans="1:6" ht="46.05" customHeight="1" x14ac:dyDescent="0.4">
      <c r="A32" s="506" t="s">
        <v>502</v>
      </c>
      <c r="B32" s="508" t="s">
        <v>233</v>
      </c>
      <c r="C32" s="583">
        <v>-11.48</v>
      </c>
      <c r="D32" s="583">
        <v>-2.17</v>
      </c>
      <c r="E32" s="513" t="s">
        <v>541</v>
      </c>
      <c r="F32" s="493">
        <v>11</v>
      </c>
    </row>
    <row r="33" spans="1:6" ht="46.05" customHeight="1" x14ac:dyDescent="0.4">
      <c r="A33" s="507" t="s">
        <v>538</v>
      </c>
      <c r="B33" s="509" t="s">
        <v>539</v>
      </c>
      <c r="C33" s="584">
        <v>-9.64</v>
      </c>
      <c r="D33" s="583">
        <v>-0.42</v>
      </c>
      <c r="E33" s="513" t="s">
        <v>540</v>
      </c>
      <c r="F33" s="493">
        <v>84</v>
      </c>
    </row>
  </sheetData>
  <sortState xmlns:xlrd2="http://schemas.microsoft.com/office/spreadsheetml/2017/richdata2" ref="A3:F33">
    <sortCondition ref="C3:C33"/>
    <sortCondition ref="D3:D33"/>
  </sortState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平均气温</vt:lpstr>
      <vt:lpstr>蒙古极端低温</vt:lpstr>
      <vt:lpstr>蒙古极端高温</vt:lpstr>
      <vt:lpstr>单站记录汇总</vt:lpstr>
      <vt:lpstr>蒙古分省均温</vt:lpstr>
      <vt:lpstr>各省一月平均气温</vt:lpstr>
      <vt:lpstr>俄罗斯高纬度</vt:lpstr>
      <vt:lpstr>隆冬月历史最高气温</vt:lpstr>
      <vt:lpstr>滑雪场对比</vt:lpstr>
      <vt:lpstr>滑雪场极端低温</vt:lpstr>
      <vt:lpstr>滑雪场冬均最低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2024-12-10T04:30:20Z</dcterms:created>
  <dcterms:modified xsi:type="dcterms:W3CDTF">2026-10-23T17:18:57Z</dcterms:modified>
</cp:coreProperties>
</file>