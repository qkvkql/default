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FA398472-50BD-462F-80B2-265FA843D90C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2" l="1" a="1"/>
  <c r="V4" i="2" s="1"/>
  <c r="B5" i="1"/>
  <c r="B6" i="1"/>
  <c r="B7" i="1"/>
  <c r="B8" i="1"/>
  <c r="B9" i="1"/>
  <c r="B12" i="1"/>
  <c r="B13" i="1"/>
  <c r="B11" i="1"/>
  <c r="B14" i="1"/>
  <c r="B15" i="1"/>
  <c r="B10" i="1"/>
  <c r="B4" i="1"/>
  <c r="V5" i="2" a="1"/>
  <c r="V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<sst xmlns="http://schemas.openxmlformats.org/spreadsheetml/2006/main" count="1357" uniqueCount="471">
  <si>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</si>
  <si>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</si>
  <si>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</si>
  <si>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</si>
  <si>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鄂特冈</t>
  </si>
  <si>
    <t>巴尔古津</t>
  </si>
  <si>
    <t>埃基姆昌</t>
  </si>
  <si>
    <t>布鲁坎</t>
  </si>
  <si>
    <t>奥布卢奇耶</t>
  </si>
  <si>
    <t>仁钦隆勃</t>
  </si>
  <si>
    <t>乌兰固木</t>
  </si>
  <si>
    <t>巴彦特斯</t>
  </si>
  <si>
    <t>车臣乌拉</t>
  </si>
  <si>
    <t>陶松臣格勒</t>
  </si>
  <si>
    <t>海拉尔</t>
  </si>
  <si>
    <t>阿勒泰</t>
  </si>
  <si>
    <t>乌鲁木齐</t>
  </si>
  <si>
    <t>巴音布鲁克</t>
  </si>
  <si>
    <t>呼和浩特</t>
  </si>
  <si>
    <t>康保</t>
  </si>
  <si>
    <t>哈尔滨</t>
  </si>
  <si>
    <t>桦甸</t>
  </si>
  <si>
    <t>西丰</t>
  </si>
  <si>
    <t>右玉</t>
  </si>
  <si>
    <t>嘉荫</t>
  </si>
  <si>
    <t>阿尔山</t>
  </si>
  <si>
    <t>清水河</t>
  </si>
  <si>
    <t>安多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</si>
  <si>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</si>
  <si>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</si>
  <si>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</si>
  <si>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</si>
  <si>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</si>
  <si>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</si>
  <si>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</si>
  <si>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</si>
  <si>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</si>
  <si>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</si>
  <si>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</si>
  <si>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</si>
  <si>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</si>
  <si>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</si>
  <si>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</si>
  <si>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</si>
  <si>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</si>
  <si>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</si>
  <si>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</si>
  <si>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</si>
  <si>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</si>
  <si>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</si>
  <si>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</si>
  <si>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</si>
  <si>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</si>
  <si>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</si>
  <si>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</si>
  <si>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</si>
  <si>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</si>
  <si>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</si>
  <si>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</si>
  <si>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</si>
  <si>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</si>
  <si>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</si>
  <si>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</si>
  <si>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</si>
  <si>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</si>
  <si>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</si>
  <si>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</si>
  <si>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</si>
  <si>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</si>
  <si>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</si>
  <si>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</si>
  <si>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</si>
  <si>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</si>
  <si>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</si>
  <si>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</si>
  <si>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</si>
  <si>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</si>
  <si>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</si>
  <si>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</si>
  <si>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</si>
  <si>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</si>
  <si>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</si>
  <si>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</si>
  <si>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</si>
  <si>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</si>
  <si>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</si>
  <si>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</si>
  <si>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</si>
  <si>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</si>
  <si>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衡东</t>
  </si>
  <si>
    <t>兰州</t>
  </si>
  <si>
    <t>禾木村</t>
  </si>
  <si>
    <t>ID</t>
    <phoneticPr fontId="1" type="noConversion"/>
  </si>
  <si>
    <t>天津</t>
  </si>
  <si>
    <t>重庆</t>
  </si>
  <si>
    <t>成都</t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</si>
  <si>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</si>
  <si>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</si>
  <si>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</si>
  <si>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</si>
  <si>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</si>
  <si>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</si>
  <si>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</si>
  <si>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</si>
  <si>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</si>
  <si>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</si>
  <si>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</si>
  <si>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</si>
  <si>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</si>
  <si>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</si>
  <si>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</si>
  <si>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</si>
  <si>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</si>
  <si>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</si>
  <si>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</si>
  <si>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t>存档</t>
    <phoneticPr fontId="1" type="noConversion"/>
  </si>
  <si>
    <t>定榜
制图</t>
    <phoneticPr fontId="1" type="noConversion"/>
  </si>
  <si>
    <t xml:space="preserve">  </t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</si>
  <si>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</si>
  <si>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</si>
  <si>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</si>
  <si>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</si>
  <si>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</si>
  <si>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</si>
  <si>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</si>
  <si>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台勒门</t>
    <phoneticPr fontId="1" type="noConversion"/>
  </si>
  <si>
    <t>、</t>
    <phoneticPr fontId="1" type="noConversion"/>
  </si>
  <si>
    <t>有值</t>
    <phoneticPr fontId="1" type="noConversion"/>
  </si>
  <si>
    <t>启用</t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</si>
  <si>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</si>
  <si>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</si>
  <si>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</si>
  <si>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</si>
  <si>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</si>
  <si>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</si>
  <si>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</si>
  <si>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</si>
  <si>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</si>
  <si>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</si>
  <si>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</si>
  <si>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</si>
  <si>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</si>
  <si>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</si>
  <si>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</si>
  <si>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</si>
  <si>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</si>
  <si>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</si>
  <si>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B</t>
    <phoneticPr fontId="1" type="noConversion"/>
  </si>
  <si>
    <t>rp5</t>
    <phoneticPr fontId="1" type="noConversion"/>
  </si>
  <si>
    <t>奥莫隆</t>
  </si>
  <si>
    <t>Эльген</t>
  </si>
  <si>
    <t>图拉</t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</si>
  <si>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</si>
  <si>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</si>
  <si>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</si>
  <si>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</si>
  <si>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</si>
  <si>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</si>
  <si>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</si>
  <si>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</si>
  <si>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</si>
  <si>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</si>
  <si>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</si>
  <si>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</si>
  <si>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</si>
  <si>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</si>
  <si>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</si>
  <si>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</si>
  <si>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</si>
  <si>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</si>
  <si>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</si>
  <si>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</si>
  <si>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</si>
  <si>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</si>
  <si>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</si>
  <si>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</si>
  <si>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</si>
  <si>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</si>
  <si>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</si>
  <si>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</si>
  <si>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</si>
  <si>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</si>
  <si>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</si>
  <si>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</si>
  <si>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</si>
  <si>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</si>
  <si>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</si>
  <si>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</si>
  <si>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</si>
  <si>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</si>
  <si>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</si>
  <si>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</si>
  <si>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</si>
  <si>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</si>
  <si>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</si>
  <si>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</si>
  <si>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</si>
  <si>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</si>
  <si>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</si>
  <si>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</si>
  <si>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</si>
  <si>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</si>
  <si>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</si>
  <si>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</si>
  <si>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</si>
  <si>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</si>
  <si>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</si>
  <si>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</si>
  <si>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</si>
  <si>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</si>
  <si>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</si>
  <si>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</si>
  <si>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</si>
  <si>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</si>
  <si>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</si>
  <si>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</si>
  <si>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</si>
  <si>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</si>
  <si>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</si>
  <si>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</si>
  <si>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</si>
  <si>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</si>
  <si>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</si>
  <si>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</si>
  <si>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</si>
  <si>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</si>
  <si>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</si>
  <si>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t>sheet名字不能随便改，否则宏运行报错“下标越界”！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</si>
  <si>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</si>
  <si>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</si>
  <si>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</si>
  <si>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</si>
  <si>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</si>
  <si>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</si>
  <si>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</si>
  <si>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</si>
  <si>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</si>
  <si>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</si>
  <si>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</si>
  <si>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</si>
  <si>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</si>
  <si>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</si>
  <si>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</si>
  <si>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</si>
  <si>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</si>
  <si>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</si>
  <si>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</si>
  <si>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</si>
  <si>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</si>
  <si>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</si>
  <si>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</si>
  <si>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</si>
  <si>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</si>
  <si>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</si>
  <si>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</si>
  <si>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</si>
  <si>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</si>
  <si>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</si>
  <si>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</si>
  <si>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</si>
  <si>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</si>
  <si>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</si>
  <si>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</si>
  <si>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</si>
  <si>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</si>
  <si>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</si>
  <si>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</si>
  <si>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</si>
  <si>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</si>
  <si>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</si>
  <si>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</si>
  <si>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</si>
  <si>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</si>
  <si>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</si>
  <si>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</si>
  <si>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</si>
  <si>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</si>
  <si>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</si>
  <si>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</si>
  <si>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蒙古 巴彦乌列盖省</t>
    <phoneticPr fontId="1" type="noConversion"/>
  </si>
  <si>
    <t>Сагсай</t>
    <phoneticPr fontId="1" type="noConversion"/>
  </si>
  <si>
    <t>巴彦布拉格</t>
    <phoneticPr fontId="1" type="noConversion"/>
  </si>
  <si>
    <t>A</t>
    <phoneticPr fontId="1" type="noConversion"/>
  </si>
  <si>
    <t>嘎鲁特</t>
    <phoneticPr fontId="1" type="noConversion"/>
  </si>
  <si>
    <t>布尔干</t>
    <phoneticPr fontId="1" type="noConversion"/>
  </si>
  <si>
    <t>查干乌尔</t>
    <phoneticPr fontId="1" type="noConversion"/>
  </si>
  <si>
    <t>阿拉格额尔德尼</t>
    <phoneticPr fontId="1" type="noConversion"/>
  </si>
  <si>
    <t>哈特嘎勒</t>
    <phoneticPr fontId="1" type="noConversion"/>
  </si>
  <si>
    <t>木伦</t>
    <phoneticPr fontId="1" type="noConversion"/>
  </si>
  <si>
    <t>阿尔布拉格</t>
    <phoneticPr fontId="1" type="noConversion"/>
  </si>
  <si>
    <t>车车尔勒格</t>
    <phoneticPr fontId="1" type="noConversion"/>
  </si>
  <si>
    <t>巴彦珠尔赫</t>
    <phoneticPr fontId="1" type="noConversion"/>
  </si>
  <si>
    <t>汗赫</t>
    <phoneticPr fontId="1" type="noConversion"/>
  </si>
  <si>
    <t>额尔德尼布尔干</t>
    <phoneticPr fontId="1" type="noConversion"/>
  </si>
  <si>
    <t>拉善特</t>
    <phoneticPr fontId="1" type="noConversion"/>
  </si>
  <si>
    <t>阿尔泰</t>
    <phoneticPr fontId="1" type="noConversion"/>
  </si>
  <si>
    <t>温都尔乌兰</t>
    <phoneticPr fontId="1" type="noConversion"/>
  </si>
  <si>
    <t>蒙古 后杭爱省</t>
    <phoneticPr fontId="1" type="noConversion"/>
  </si>
  <si>
    <t>杭爱</t>
    <phoneticPr fontId="1" type="noConversion"/>
  </si>
  <si>
    <t>额勒济特</t>
    <phoneticPr fontId="1" type="noConversion"/>
  </si>
  <si>
    <t>江西 上饶市 广信区</t>
    <phoneticPr fontId="1" type="noConversion"/>
  </si>
  <si>
    <t>楚鲁特</t>
    <phoneticPr fontId="1" type="noConversion"/>
  </si>
  <si>
    <t>上饶县</t>
    <phoneticPr fontId="1" type="noConversion"/>
  </si>
  <si>
    <t>五道梁</t>
    <phoneticPr fontId="1" type="noConversion"/>
  </si>
  <si>
    <t>Налайх</t>
    <phoneticPr fontId="1" type="noConversion"/>
  </si>
  <si>
    <t>Буянт-Ухаа</t>
    <phoneticPr fontId="1" type="noConversion"/>
  </si>
  <si>
    <t>ZX</t>
    <phoneticPr fontId="1" type="noConversion"/>
  </si>
  <si>
    <t>新疆 阿勒泰 布尔津县</t>
    <phoneticPr fontId="1" type="noConversion"/>
  </si>
  <si>
    <t>喀纳斯湖</t>
    <phoneticPr fontId="1" type="noConversion"/>
  </si>
  <si>
    <t>新疆 博州 博乐市</t>
    <phoneticPr fontId="1" type="noConversion"/>
  </si>
  <si>
    <t>赛里木湖</t>
    <phoneticPr fontId="1" type="noConversion"/>
  </si>
  <si>
    <t>吉林 延边 安图县</t>
    <phoneticPr fontId="1" type="noConversion"/>
  </si>
  <si>
    <t>长白山天池</t>
    <phoneticPr fontId="1" type="noConversion"/>
  </si>
  <si>
    <t>四川 阿坝 九寨沟县</t>
    <phoneticPr fontId="1" type="noConversion"/>
  </si>
  <si>
    <t>湖南 张家界市 永定区</t>
    <phoneticPr fontId="1" type="noConversion"/>
  </si>
  <si>
    <t>安徽 黄山市 黄山区</t>
    <phoneticPr fontId="1" type="noConversion"/>
  </si>
  <si>
    <t>黄山</t>
    <phoneticPr fontId="1" type="noConversion"/>
  </si>
  <si>
    <t>纬度</t>
    <phoneticPr fontId="1" type="noConversion"/>
  </si>
  <si>
    <t>张家界</t>
    <phoneticPr fontId="1" type="noConversion"/>
  </si>
  <si>
    <t>九寨沟</t>
    <phoneticPr fontId="1" type="noConversion"/>
  </si>
  <si>
    <t>冷极大PK</t>
    <phoneticPr fontId="1" type="noConversion"/>
  </si>
  <si>
    <t>河北 承德市 围场</t>
    <phoneticPr fontId="1" type="noConversion"/>
  </si>
  <si>
    <t>山西 忻州市 五台县</t>
    <phoneticPr fontId="1" type="noConversion"/>
  </si>
  <si>
    <t>四川 甘孜 石渠县</t>
    <phoneticPr fontId="1" type="noConversion"/>
  </si>
  <si>
    <t>五台山中台</t>
  </si>
  <si>
    <t>德荣玛乡</t>
  </si>
  <si>
    <t>D</t>
    <phoneticPr fontId="1" type="noConversion"/>
  </si>
  <si>
    <t>新疆 阿勒泰 富蕴县</t>
  </si>
  <si>
    <t>47.17 °N</t>
  </si>
  <si>
    <t>3084m</t>
  </si>
  <si>
    <t>可可托海滑雪场
3100山顶</t>
    <phoneticPr fontId="1" type="noConversion"/>
  </si>
  <si>
    <t>ogi</t>
    <phoneticPr fontId="1" type="noConversion"/>
  </si>
  <si>
    <t>2025年</t>
    <phoneticPr fontId="1" type="noConversion"/>
  </si>
  <si>
    <t>呼伦贝尔市 根河市</t>
    <phoneticPr fontId="1" type="noConversion"/>
  </si>
  <si>
    <t>蒙古 前杭爱省</t>
    <phoneticPr fontId="1" type="noConversion"/>
  </si>
  <si>
    <t>巴彦温都尔</t>
    <phoneticPr fontId="1" type="noConversion"/>
  </si>
  <si>
    <t>蒙古 中央省</t>
    <phoneticPr fontId="1" type="noConversion"/>
  </si>
  <si>
    <t>蒙根莫里特</t>
    <phoneticPr fontId="1" type="noConversion"/>
  </si>
  <si>
    <t>蒙古 肯特省</t>
    <phoneticPr fontId="1" type="noConversion"/>
  </si>
  <si>
    <t>巴特希雷特</t>
    <phoneticPr fontId="1" type="noConversion"/>
  </si>
  <si>
    <t>得耳布尔</t>
    <phoneticPr fontId="1" type="noConversion"/>
  </si>
  <si>
    <t>阿木尔镇</t>
    <phoneticPr fontId="1" type="noConversion"/>
  </si>
  <si>
    <t>D</t>
    <phoneticPr fontId="1" type="noConversion"/>
  </si>
  <si>
    <t>ZX</t>
    <phoneticPr fontId="1" type="noConversion"/>
  </si>
  <si>
    <t>蒙古 戈壁阿尔泰省</t>
    <phoneticPr fontId="1" type="noConversion"/>
  </si>
  <si>
    <t>额尔德尼</t>
    <phoneticPr fontId="1" type="noConversion"/>
  </si>
  <si>
    <t>塔里亚特</t>
    <phoneticPr fontId="1" type="noConversion"/>
  </si>
  <si>
    <t>蒙古 科布多省</t>
    <phoneticPr fontId="1" type="noConversion"/>
  </si>
  <si>
    <t>马鬃山</t>
    <phoneticPr fontId="1" type="noConversion"/>
  </si>
  <si>
    <t>蒙古 色楞格省</t>
    <phoneticPr fontId="1" type="noConversion"/>
  </si>
  <si>
    <t>Зэлтэр</t>
    <phoneticPr fontId="1" type="noConversion"/>
  </si>
  <si>
    <t>东杭爱</t>
    <phoneticPr fontId="1" type="noConversion"/>
  </si>
  <si>
    <t>Мөст</t>
    <phoneticPr fontId="1" type="noConversion"/>
  </si>
  <si>
    <t>Уянга</t>
    <phoneticPr fontId="1" type="noConversion"/>
  </si>
  <si>
    <t>温都尔杭爱</t>
    <phoneticPr fontId="1" type="noConversion"/>
  </si>
  <si>
    <t>鄂尔浑图勒</t>
    <phoneticPr fontId="1" type="noConversion"/>
  </si>
  <si>
    <t>Цахир</t>
    <phoneticPr fontId="1" type="noConversion"/>
  </si>
  <si>
    <t>臣赫尔曼达勒</t>
    <phoneticPr fontId="1" type="noConversion"/>
  </si>
  <si>
    <t>额勒吉特</t>
    <phoneticPr fontId="1" type="noConversion"/>
  </si>
  <si>
    <t>蒙古 东方省</t>
  </si>
  <si>
    <t>查干敖包</t>
  </si>
  <si>
    <t>48.57 °N</t>
  </si>
  <si>
    <t>861m</t>
  </si>
  <si>
    <t>蒙古 苏赫巴托尔省</t>
  </si>
  <si>
    <t>图门朝格图</t>
  </si>
  <si>
    <t>47.57 °N</t>
  </si>
  <si>
    <t>988m</t>
  </si>
  <si>
    <t>蒙古 肯特省</t>
  </si>
  <si>
    <t>巴特瑙劳布</t>
  </si>
  <si>
    <t>47.94 °N</t>
  </si>
  <si>
    <t>1044m</t>
  </si>
  <si>
    <t>巴嘎诺尔</t>
  </si>
  <si>
    <t>47.78 °N</t>
  </si>
  <si>
    <t>1358m</t>
  </si>
  <si>
    <t>蒙古 布尔干省</t>
  </si>
  <si>
    <t>色楞格</t>
  </si>
  <si>
    <t>49.46 °N</t>
  </si>
  <si>
    <t>795m</t>
  </si>
  <si>
    <t>蒙古 鄂尔浑省</t>
  </si>
  <si>
    <t>49.06 °N</t>
  </si>
  <si>
    <t>1060m</t>
  </si>
  <si>
    <t>五台山东台</t>
    <phoneticPr fontId="1" type="noConversion"/>
  </si>
  <si>
    <t>52.27 °N</t>
  </si>
  <si>
    <t>902m</t>
  </si>
  <si>
    <t>图里河</t>
  </si>
  <si>
    <t>50.48 °N</t>
  </si>
  <si>
    <t>735m</t>
  </si>
  <si>
    <t>53.97 °N</t>
  </si>
  <si>
    <t>533m</t>
  </si>
  <si>
    <t>43.03 °N</t>
  </si>
  <si>
    <t>2459m</t>
  </si>
  <si>
    <t>799m</t>
  </si>
  <si>
    <t>47.21 °N</t>
  </si>
  <si>
    <t>2156m</t>
  </si>
  <si>
    <t>51.11 °N</t>
  </si>
  <si>
    <t>1585m</t>
  </si>
  <si>
    <t>53.53 °N</t>
  </si>
  <si>
    <t>811m</t>
  </si>
  <si>
    <t>51.72 °N</t>
  </si>
  <si>
    <t>628m</t>
  </si>
  <si>
    <t>52.97 °N</t>
  </si>
  <si>
    <t>434m</t>
  </si>
  <si>
    <t>50.24 °N</t>
  </si>
  <si>
    <t>581m</t>
  </si>
  <si>
    <r>
      <t xml:space="preserve">新疆
</t>
    </r>
    <r>
      <rPr>
        <sz val="12"/>
        <color rgb="FFFFFF00"/>
        <rFont val="等线"/>
        <family val="3"/>
        <charset val="134"/>
        <scheme val="minor"/>
      </rPr>
      <t>巴州 和静县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</si>
  <si>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</t>
    </r>
    <phoneticPr fontId="1" type="noConversion"/>
  </si>
  <si>
    <r>
      <t xml:space="preserve">内蒙古
</t>
    </r>
    <r>
      <rPr>
        <sz val="12"/>
        <color rgb="FFFFFF00"/>
        <rFont val="等线"/>
        <family val="3"/>
        <charset val="134"/>
        <scheme val="minor"/>
      </rPr>
      <t>呼伦贝尔市
牙克石市</t>
    </r>
    <phoneticPr fontId="1" type="noConversion"/>
  </si>
  <si>
    <r>
      <t xml:space="preserve">黑龙江
</t>
    </r>
    <r>
      <rPr>
        <sz val="12"/>
        <color rgb="FFFFFF00"/>
        <rFont val="等线"/>
        <family val="3"/>
        <charset val="134"/>
        <scheme val="minor"/>
      </rPr>
      <t>大兴安岭地区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</si>
  <si>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</si>
  <si>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</si>
  <si>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后贝加尔
边疆区</t>
    </r>
    <phoneticPr fontId="1" type="noConversion"/>
  </si>
  <si>
    <r>
      <t xml:space="preserve">俄罗斯
</t>
    </r>
    <r>
      <rPr>
        <sz val="12"/>
        <color theme="0"/>
        <rFont val="等线"/>
        <family val="3"/>
        <charset val="134"/>
        <scheme val="minor"/>
      </rPr>
      <t>哈巴罗夫斯克
边疆区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</si>
  <si>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</si>
  <si>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</si>
  <si>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2"/>
        <color theme="0"/>
        <rFont val="等线"/>
        <family val="3"/>
        <charset val="134"/>
        <scheme val="minor"/>
      </rPr>
      <t>乌布苏省</t>
    </r>
    <phoneticPr fontId="1" type="noConversion"/>
  </si>
  <si>
    <t>卡丘格</t>
    <phoneticPr fontId="1" type="noConversion"/>
  </si>
  <si>
    <t>特斯</t>
    <phoneticPr fontId="1" type="noConversion"/>
  </si>
  <si>
    <t>今日气温(℃)</t>
    <phoneticPr fontId="1" type="noConversion"/>
  </si>
  <si>
    <t>42.41 °N</t>
  </si>
  <si>
    <t>1507m</t>
  </si>
  <si>
    <t>塞罕坝</t>
    <phoneticPr fontId="1" type="noConversion"/>
  </si>
  <si>
    <r>
      <rPr>
        <sz val="12"/>
        <color theme="0"/>
        <rFont val="等线"/>
        <family val="3"/>
        <charset val="134"/>
        <scheme val="minor"/>
      </rPr>
      <t>河北</t>
    </r>
    <r>
      <rPr>
        <sz val="12"/>
        <color rgb="FF92D050"/>
        <rFont val="等线"/>
        <family val="3"/>
        <charset val="134"/>
        <scheme val="minor"/>
      </rPr>
      <t xml:space="preserve">
</t>
    </r>
    <r>
      <rPr>
        <sz val="12"/>
        <color rgb="FFFFFF00"/>
        <rFont val="等线"/>
        <family val="3"/>
        <charset val="134"/>
        <scheme val="minor"/>
      </rPr>
      <t>承德市 围场</t>
    </r>
    <phoneticPr fontId="1" type="noConversion"/>
  </si>
  <si>
    <t>最低</t>
    <phoneticPr fontId="1" type="noConversion"/>
  </si>
  <si>
    <t>最高</t>
    <phoneticPr fontId="1" type="noConversion"/>
  </si>
  <si>
    <t>马尔卡湖</t>
    <phoneticPr fontId="1" type="noConversion"/>
  </si>
  <si>
    <t>C</t>
    <phoneticPr fontId="1" type="noConversion"/>
  </si>
  <si>
    <t>香港</t>
    <phoneticPr fontId="1" type="noConversion"/>
  </si>
  <si>
    <t>澳门</t>
    <phoneticPr fontId="1" type="noConversion"/>
  </si>
  <si>
    <t>台北</t>
    <phoneticPr fontId="1" type="noConversion"/>
  </si>
  <si>
    <t>台湾 台北市 中正区</t>
    <phoneticPr fontId="1" type="noConversion"/>
  </si>
  <si>
    <t>萨依肯布拉克</t>
    <phoneticPr fontId="1" type="noConversion"/>
  </si>
  <si>
    <t>巴特曾格勒</t>
    <phoneticPr fontId="1" type="noConversion"/>
  </si>
  <si>
    <t>Есөн-Зүйл</t>
    <phoneticPr fontId="1" type="noConversion"/>
  </si>
  <si>
    <t>布尔德</t>
    <phoneticPr fontId="1" type="noConversion"/>
  </si>
  <si>
    <t>蒙古 南戈壁省</t>
    <phoneticPr fontId="1" type="noConversion"/>
  </si>
  <si>
    <t>Хүрмэн</t>
    <phoneticPr fontId="1" type="noConversion"/>
  </si>
  <si>
    <t>蒙古 中戈壁省</t>
    <phoneticPr fontId="1" type="noConversion"/>
  </si>
  <si>
    <t>Сайхан-Овоо</t>
    <phoneticPr fontId="1" type="noConversion"/>
  </si>
  <si>
    <t>巴彦诺尔</t>
    <phoneticPr fontId="1" type="noConversion"/>
  </si>
  <si>
    <t>蒙古 布尔干省</t>
    <phoneticPr fontId="1" type="noConversion"/>
  </si>
  <si>
    <t>Шарын гол</t>
    <phoneticPr fontId="1" type="noConversion"/>
  </si>
  <si>
    <t>蒙古 达尔汗乌拉省</t>
    <phoneticPr fontId="1" type="noConversion"/>
  </si>
  <si>
    <t>布伦</t>
    <phoneticPr fontId="1" type="noConversion"/>
  </si>
  <si>
    <t>青海 果洛州 玛沁县</t>
    <phoneticPr fontId="1" type="noConversion"/>
  </si>
  <si>
    <t>优云</t>
    <phoneticPr fontId="1" type="noConversion"/>
  </si>
  <si>
    <t>乌力库玛</t>
    <phoneticPr fontId="1" type="noConversion"/>
  </si>
  <si>
    <t>哈萨克斯坦 阿拜州</t>
    <phoneticPr fontId="1" type="noConversion"/>
  </si>
  <si>
    <t>内蒙古 锡林郭勒盟</t>
    <phoneticPr fontId="1" type="noConversion"/>
  </si>
  <si>
    <t>东乌珠穆沁</t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</si>
  <si>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</si>
  <si>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</si>
  <si>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5"/>
        <color theme="2" tint="-0.249977111117893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</si>
  <si>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哈萨克斯坦
</t>
    </r>
    <r>
      <rPr>
        <sz val="15"/>
        <color theme="2" tint="-0.249977111117893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</si>
  <si>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theme="2" tint="-0.249977111117893"/>
        <rFont val="等线"/>
        <family val="3"/>
        <charset val="134"/>
        <scheme val="minor"/>
      </rPr>
      <t xml:space="preserve">俄罗斯
</t>
    </r>
    <r>
      <rPr>
        <sz val="13"/>
        <color theme="2" tint="-0.249977111117893"/>
        <rFont val="等线"/>
        <family val="3"/>
        <charset val="134"/>
        <scheme val="minor"/>
      </rPr>
      <t>克拉斯诺亚尔斯克边疆区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</si>
  <si>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扎布汗</t>
    </r>
    <r>
      <rPr>
        <sz val="15"/>
        <color theme="2" tint="-0.249977111117893"/>
        <rFont val="等线"/>
        <family val="3"/>
        <charset val="134"/>
        <scheme val="minor"/>
      </rPr>
      <t>省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</si>
  <si>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</si>
  <si>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theme="0"/>
        <rFont val="等线"/>
        <family val="3"/>
        <charset val="134"/>
        <scheme val="minor"/>
      </rPr>
      <t xml:space="preserve">俄罗斯
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</si>
  <si>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蒙古 </t>
    </r>
    <r>
      <rPr>
        <sz val="15"/>
        <color rgb="FFFFFF00"/>
        <rFont val="等线"/>
        <family val="3"/>
        <charset val="134"/>
        <scheme val="minor"/>
      </rPr>
      <t>乌布苏</t>
    </r>
    <r>
      <rPr>
        <sz val="15"/>
        <color theme="0"/>
        <rFont val="等线"/>
        <family val="3"/>
        <charset val="134"/>
        <scheme val="minor"/>
      </rPr>
      <t>省</t>
    </r>
    <phoneticPr fontId="1" type="noConversion"/>
  </si>
  <si>
    <t>黑龙江 大兴安岭地区</t>
    <phoneticPr fontId="1" type="noConversion"/>
  </si>
  <si>
    <t>新林</t>
    <phoneticPr fontId="1" type="noConversion"/>
  </si>
  <si>
    <t>杜特</t>
    <phoneticPr fontId="1" type="noConversion"/>
  </si>
  <si>
    <t>德龙</t>
    <phoneticPr fontId="1" type="noConversion"/>
  </si>
  <si>
    <t>青海 海北 祁连县</t>
    <phoneticPr fontId="1" type="noConversion"/>
  </si>
  <si>
    <t>托勒</t>
    <phoneticPr fontId="1" type="noConversion"/>
  </si>
  <si>
    <t>黑龙江 伊春市 汤旺县</t>
    <phoneticPr fontId="1" type="noConversion"/>
  </si>
  <si>
    <t>乌伊岭</t>
    <phoneticPr fontId="1" type="noConversion"/>
  </si>
  <si>
    <t>Y</t>
    <phoneticPr fontId="1" type="noConversion"/>
  </si>
  <si>
    <t>富克山</t>
    <phoneticPr fontId="1" type="noConversion"/>
  </si>
  <si>
    <t>呼伦贝尔市
鄂温克族自治旗</t>
    <phoneticPr fontId="1" type="noConversion"/>
  </si>
  <si>
    <t>扎格达木丹</t>
    <phoneticPr fontId="1" type="noConversion"/>
  </si>
  <si>
    <t>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</si>
</sst>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\ &quot;°N&quot;"/>
    <numFmt numFmtId="178" formatCode="0&quot;m&quot;"/>
  </numFmts>
  <fonts count="6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42"/>
      <color rgb="FFF72585"/>
      <name val="等线"/>
      <family val="3"/>
      <charset val="134"/>
      <scheme val="minor"/>
    </font>
    <font>
      <b/>
      <sz val="40"/>
      <color theme="1"/>
      <name val="Franklin Gothic Heavy"/>
      <family val="2"/>
    </font>
    <font>
      <b/>
      <sz val="13"/>
      <color rgb="FFFFFFFF"/>
      <name val="等线"/>
      <family val="3"/>
      <charset val="134"/>
      <scheme val="minor"/>
    </font>
    <font>
      <b/>
      <sz val="36"/>
      <color theme="0"/>
      <name val="等线"/>
      <family val="3"/>
      <charset val="134"/>
    </font>
    <font>
      <b/>
      <sz val="28"/>
      <color theme="0"/>
      <name val="等线"/>
      <family val="3"/>
      <charset val="134"/>
    </font>
    <font>
      <sz val="11"/>
      <color theme="0"/>
      <name val="等线"/>
      <family val="3"/>
      <charset val="134"/>
      <scheme val="minor"/>
    </font>
    <font>
      <sz val="12"/>
      <color rgb="FF00B0F0"/>
      <name val="等线"/>
      <family val="3"/>
      <charset val="134"/>
      <scheme val="minor"/>
    </font>
    <font>
      <sz val="12"/>
      <color rgb="FF92D05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sz val="12"/>
      <color theme="2" tint="-0.499984740745262"/>
      <name val="等线"/>
      <family val="3"/>
      <charset val="134"/>
      <scheme val="minor"/>
    </font>
    <font>
      <b/>
      <sz val="12"/>
      <color theme="2" tint="-0.499984740745262"/>
      <name val="Franklin Gothic Heavy"/>
      <family val="2"/>
    </font>
    <font>
      <b/>
      <sz val="24"/>
      <color theme="2" tint="-0.499984740745262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b/>
      <sz val="28"/>
      <color rgb="FFFFFFFF"/>
      <name val="等线"/>
      <family val="3"/>
      <charset val="134"/>
    </font>
    <font>
      <b/>
      <sz val="28"/>
      <color rgb="FFFFFF3F"/>
      <name val="等线"/>
      <family val="3"/>
      <charset val="134"/>
    </font>
    <font>
      <b/>
      <sz val="28"/>
      <color rgb="FF000000"/>
      <name val="等线"/>
      <family val="3"/>
      <charset val="134"/>
    </font>
    <font>
      <b/>
      <sz val="28"/>
      <color rgb="FF0000FF"/>
      <name val="等线"/>
      <family val="3"/>
      <charset val="134"/>
    </font>
    <font>
      <b/>
      <sz val="28"/>
      <color theme="2" tint="-0.499984740745262"/>
      <name val="等线"/>
      <family val="3"/>
      <charset val="134"/>
    </font>
    <font>
      <sz val="15"/>
      <color theme="2" tint="-0.249977111117893"/>
      <name val="等线"/>
      <family val="3"/>
      <charset val="134"/>
      <scheme val="minor"/>
    </font>
    <font>
      <sz val="11"/>
      <color theme="2" tint="-0.249977111117893"/>
      <name val="等线"/>
      <family val="3"/>
      <charset val="134"/>
      <scheme val="minor"/>
    </font>
    <font>
      <sz val="14"/>
      <color theme="2" tint="-0.249977111117893"/>
      <name val="等线"/>
      <family val="3"/>
      <charset val="134"/>
      <scheme val="minor"/>
    </font>
    <font>
      <sz val="13"/>
      <color theme="2" tint="-0.249977111117893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</fonts>
  <fills count="6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B0DCDD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73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6" fillId="3" borderId="8" xfId="0" applyFont="1" applyFill="1" applyBorder="1" applyAlignment="1">
      <alignment vertical="center" shrinkToFit="1"/>
    </xf>
    <xf numFmtId="0" fontId="5" fillId="3" borderId="8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4" fillId="0" borderId="0" xfId="0" applyFont="1">
      <alignment vertical="center"/>
    </xf>
    <xf numFmtId="0" fontId="11" fillId="3" borderId="7" xfId="0" applyFont="1" applyFill="1" applyBorder="1" applyAlignment="1">
      <alignment horizontal="right" vertical="center" wrapText="1"/>
    </xf>
    <xf numFmtId="0" fontId="15" fillId="4" borderId="6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right" vertical="center" wrapText="1"/>
    </xf>
    <xf numFmtId="0" fontId="3" fillId="3" borderId="9" xfId="0" applyFont="1" applyFill="1" applyBorder="1" applyAlignment="1">
      <alignment horizontal="center" vertical="center"/>
    </xf>
    <xf numFmtId="0" fontId="2" fillId="5" borderId="0" xfId="0" applyFont="1" applyFill="1">
      <alignment vertical="center"/>
    </xf>
    <xf numFmtId="0" fontId="18" fillId="10" borderId="6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13" fillId="13" borderId="7" xfId="0" applyFont="1" applyFill="1" applyBorder="1" applyAlignment="1">
      <alignment horizontal="center" vertical="center"/>
    </xf>
    <xf numFmtId="0" fontId="22" fillId="13" borderId="7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13" fillId="14" borderId="17" xfId="0" applyFont="1" applyFill="1" applyBorder="1" applyAlignment="1">
      <alignment horizontal="center" vertical="center"/>
    </xf>
    <xf numFmtId="0" fontId="13" fillId="15" borderId="17" xfId="0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 vertical="center"/>
    </xf>
    <xf numFmtId="0" fontId="0" fillId="0" borderId="10" xfId="0" applyBorder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2" fillId="0" borderId="14" xfId="0" applyFont="1" applyBorder="1" applyAlignment="1">
      <alignment vertical="center" wrapText="1"/>
    </xf>
    <xf numFmtId="0" fontId="2" fillId="0" borderId="15" xfId="0" applyFont="1" applyBorder="1" applyAlignment="1">
      <alignment vertical="center" wrapText="1"/>
    </xf>
    <xf numFmtId="0" fontId="2" fillId="0" borderId="19" xfId="0" applyFont="1" applyBorder="1" applyAlignment="1">
      <alignment vertical="center" wrapText="1"/>
    </xf>
    <xf numFmtId="0" fontId="13" fillId="14" borderId="16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4" fillId="5" borderId="0" xfId="0" applyFont="1" applyFill="1">
      <alignment vertical="center"/>
    </xf>
    <xf numFmtId="0" fontId="21" fillId="17" borderId="7" xfId="0" applyFont="1" applyFill="1" applyBorder="1" applyAlignment="1">
      <alignment horizontal="center" vertical="center" wrapText="1"/>
    </xf>
    <xf numFmtId="0" fontId="4" fillId="11" borderId="16" xfId="0" applyFont="1" applyFill="1" applyBorder="1" applyAlignment="1">
      <alignment horizontal="center" vertical="center"/>
    </xf>
    <xf numFmtId="0" fontId="22" fillId="11" borderId="16" xfId="0" applyFont="1" applyFill="1" applyBorder="1" applyAlignment="1">
      <alignment horizontal="center" vertical="center"/>
    </xf>
    <xf numFmtId="0" fontId="23" fillId="11" borderId="16" xfId="0" applyFont="1" applyFill="1" applyBorder="1" applyAlignment="1">
      <alignment horizontal="center" vertical="center"/>
    </xf>
    <xf numFmtId="0" fontId="25" fillId="11" borderId="16" xfId="0" applyFont="1" applyFill="1" applyBorder="1" applyAlignment="1">
      <alignment horizontal="center" vertical="center"/>
    </xf>
    <xf numFmtId="0" fontId="8" fillId="17" borderId="6" xfId="0" applyFont="1" applyFill="1" applyBorder="1" applyAlignment="1">
      <alignment horizontal="center" vertical="center" wrapText="1"/>
    </xf>
    <xf numFmtId="0" fontId="27" fillId="16" borderId="16" xfId="0" applyFont="1" applyFill="1" applyBorder="1" applyAlignment="1">
      <alignment horizontal="center" vertical="center" wrapText="1"/>
    </xf>
    <xf numFmtId="0" fontId="27" fillId="4" borderId="7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8" fillId="2" borderId="16" xfId="0" applyFont="1" applyFill="1" applyBorder="1" applyAlignment="1">
      <alignment horizontal="center" vertical="center" wrapText="1"/>
    </xf>
    <xf numFmtId="0" fontId="27" fillId="4" borderId="18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13" fillId="3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20" fillId="0" borderId="0" xfId="0" applyFont="1">
      <alignment vertical="center"/>
    </xf>
    <xf numFmtId="0" fontId="8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9" fillId="3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3" borderId="21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 shrinkToFit="1"/>
    </xf>
    <xf numFmtId="0" fontId="30" fillId="7" borderId="22" xfId="0" applyFont="1" applyFill="1" applyBorder="1" applyAlignment="1">
      <alignment horizontal="left" vertical="center" shrinkToFit="1"/>
    </xf>
    <xf numFmtId="0" fontId="31" fillId="7" borderId="22" xfId="0" applyFont="1" applyFill="1" applyBorder="1" applyAlignment="1">
      <alignment horizontal="left" vertical="center" shrinkToFit="1"/>
    </xf>
    <xf numFmtId="0" fontId="32" fillId="7" borderId="22" xfId="0" applyFont="1" applyFill="1" applyBorder="1" applyAlignment="1">
      <alignment horizontal="left" vertical="center" shrinkToFit="1"/>
    </xf>
    <xf numFmtId="0" fontId="13" fillId="3" borderId="22" xfId="0" applyFont="1" applyFill="1" applyBorder="1" applyAlignment="1">
      <alignment horizontal="left" vertical="center" shrinkToFit="1"/>
    </xf>
    <xf numFmtId="0" fontId="11" fillId="3" borderId="17" xfId="0" applyFont="1" applyFill="1" applyBorder="1" applyAlignment="1">
      <alignment horizontal="right" vertical="center" wrapText="1"/>
    </xf>
    <xf numFmtId="0" fontId="33" fillId="18" borderId="16" xfId="0" applyFont="1" applyFill="1" applyBorder="1" applyAlignment="1">
      <alignment horizontal="center" vertical="center" wrapText="1"/>
    </xf>
    <xf numFmtId="0" fontId="36" fillId="7" borderId="22" xfId="0" applyFont="1" applyFill="1" applyBorder="1" applyAlignment="1">
      <alignment horizontal="left" vertical="center" shrinkToFit="1"/>
    </xf>
    <xf numFmtId="0" fontId="8" fillId="5" borderId="0" xfId="0" applyFont="1" applyFill="1">
      <alignment vertical="center"/>
    </xf>
    <xf numFmtId="0" fontId="0" fillId="5" borderId="0" xfId="0" applyFill="1">
      <alignment vertical="center"/>
    </xf>
    <xf numFmtId="0" fontId="40" fillId="3" borderId="17" xfId="0" applyFont="1" applyFill="1" applyBorder="1" applyAlignment="1">
      <alignment horizontal="center" vertical="center" wrapText="1"/>
    </xf>
    <xf numFmtId="0" fontId="40" fillId="3" borderId="16" xfId="0" applyFont="1" applyFill="1" applyBorder="1" applyAlignment="1">
      <alignment horizontal="center" vertical="center" wrapText="1"/>
    </xf>
    <xf numFmtId="0" fontId="22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 wrapText="1"/>
    </xf>
    <xf numFmtId="178" fontId="35" fillId="3" borderId="23" xfId="0" applyNumberFormat="1" applyFont="1" applyFill="1" applyBorder="1" applyAlignment="1">
      <alignment horizontal="right" vertical="center" wrapText="1" indent="1"/>
    </xf>
    <xf numFmtId="178" fontId="35" fillId="3" borderId="23" xfId="0" applyNumberFormat="1" applyFont="1" applyFill="1" applyBorder="1" applyAlignment="1">
      <alignment horizontal="right" vertical="center" indent="1" shrinkToFit="1"/>
    </xf>
    <xf numFmtId="178" fontId="35" fillId="3" borderId="23" xfId="0" applyNumberFormat="1" applyFont="1" applyFill="1" applyBorder="1" applyAlignment="1">
      <alignment horizontal="right" vertical="center" wrapText="1" indent="1" shrinkToFit="1"/>
    </xf>
    <xf numFmtId="177" fontId="35" fillId="3" borderId="22" xfId="0" applyNumberFormat="1" applyFont="1" applyFill="1" applyBorder="1" applyAlignment="1">
      <alignment horizontal="right" vertical="center" wrapText="1"/>
    </xf>
    <xf numFmtId="0" fontId="17" fillId="3" borderId="16" xfId="0" applyFont="1" applyFill="1" applyBorder="1" applyAlignment="1">
      <alignment horizontal="right" vertical="center" indent="2"/>
    </xf>
    <xf numFmtId="0" fontId="10" fillId="3" borderId="16" xfId="0" applyFont="1" applyFill="1" applyBorder="1" applyAlignment="1">
      <alignment horizontal="left" vertical="center" indent="2"/>
    </xf>
    <xf numFmtId="0" fontId="42" fillId="3" borderId="21" xfId="0" applyFont="1" applyFill="1" applyBorder="1" applyAlignment="1">
      <alignment horizontal="center" vertical="center"/>
    </xf>
    <xf numFmtId="0" fontId="42" fillId="3" borderId="16" xfId="0" applyFont="1" applyFill="1" applyBorder="1" applyAlignment="1">
      <alignment horizontal="center" vertical="center"/>
    </xf>
    <xf numFmtId="0" fontId="38" fillId="3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7" fillId="19" borderId="20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left" vertical="center" shrinkToFit="1"/>
    </xf>
    <xf numFmtId="0" fontId="29" fillId="3" borderId="22" xfId="0" applyFont="1" applyFill="1" applyBorder="1" applyAlignment="1">
      <alignment horizontal="left" vertical="center" shrinkToFit="1"/>
    </xf>
    <xf numFmtId="0" fontId="3" fillId="3" borderId="5" xfId="0" applyFont="1" applyFill="1" applyBorder="1" applyAlignment="1">
      <alignment horizontal="center" vertical="center" wrapText="1"/>
    </xf>
    <xf numFmtId="0" fontId="48" fillId="7" borderId="22" xfId="0" applyFont="1" applyFill="1" applyBorder="1" applyAlignment="1">
      <alignment horizontal="left" vertical="center" wrapText="1" shrinkToFit="1"/>
    </xf>
    <xf numFmtId="0" fontId="22" fillId="14" borderId="1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right" vertical="center" wrapText="1"/>
    </xf>
    <xf numFmtId="176" fontId="49" fillId="3" borderId="8" xfId="0" applyNumberFormat="1" applyFont="1" applyFill="1" applyBorder="1" applyAlignment="1">
      <alignment horizontal="right" vertical="center" wrapText="1" indent="1"/>
    </xf>
    <xf numFmtId="176" fontId="50" fillId="3" borderId="26" xfId="0" applyNumberFormat="1" applyFont="1" applyFill="1" applyBorder="1" applyAlignment="1">
      <alignment horizontal="right" vertical="center" indent="4"/>
    </xf>
    <xf numFmtId="0" fontId="51" fillId="0" borderId="0" xfId="0" applyFont="1" applyAlignment="1">
      <alignment horizontal="center" vertical="center"/>
    </xf>
    <xf numFmtId="0" fontId="7" fillId="20" borderId="21" xfId="0" applyFont="1" applyFill="1" applyBorder="1" applyAlignment="1">
      <alignment horizontal="center" vertical="center"/>
    </xf>
    <xf numFmtId="0" fontId="7" fillId="17" borderId="21" xfId="0" applyFont="1" applyFill="1" applyBorder="1" applyAlignment="1">
      <alignment horizontal="center" vertical="center"/>
    </xf>
    <xf numFmtId="0" fontId="7" fillId="17" borderId="16" xfId="0" applyFont="1" applyFill="1" applyBorder="1" applyAlignment="1">
      <alignment horizontal="center" vertical="center"/>
    </xf>
    <xf numFmtId="0" fontId="7" fillId="20" borderId="16" xfId="0" applyFont="1" applyFill="1" applyBorder="1" applyAlignment="1">
      <alignment horizontal="center" vertical="center"/>
    </xf>
    <xf numFmtId="0" fontId="52" fillId="3" borderId="7" xfId="0" applyFont="1" applyFill="1" applyBorder="1" applyAlignment="1">
      <alignment horizontal="right" vertical="center" wrapText="1"/>
    </xf>
    <xf numFmtId="0" fontId="53" fillId="3" borderId="7" xfId="0" applyFont="1" applyFill="1" applyBorder="1" applyAlignment="1">
      <alignment horizontal="right" vertical="center" wrapText="1"/>
    </xf>
    <xf numFmtId="0" fontId="54" fillId="3" borderId="8" xfId="0" applyFont="1" applyFill="1" applyBorder="1" applyAlignment="1">
      <alignment vertical="center" shrinkToFit="1"/>
    </xf>
    <xf numFmtId="176" fontId="55" fillId="3" borderId="8" xfId="0" applyNumberFormat="1" applyFont="1" applyFill="1" applyBorder="1" applyAlignment="1">
      <alignment horizontal="center" vertical="center" wrapText="1"/>
    </xf>
    <xf numFmtId="0" fontId="55" fillId="3" borderId="9" xfId="0" applyFont="1" applyFill="1" applyBorder="1" applyAlignment="1">
      <alignment horizontal="right" vertical="center" wrapText="1" indent="1"/>
    </xf>
    <xf numFmtId="0" fontId="55" fillId="3" borderId="9" xfId="0" applyFont="1" applyFill="1" applyBorder="1" applyAlignment="1">
      <alignment horizontal="right" vertical="center" indent="1" shrinkToFit="1"/>
    </xf>
    <xf numFmtId="176" fontId="56" fillId="3" borderId="8" xfId="0" applyNumberFormat="1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 wrapText="1"/>
    </xf>
    <xf numFmtId="0" fontId="57" fillId="3" borderId="4" xfId="0" applyFont="1" applyFill="1" applyBorder="1" applyAlignment="1">
      <alignment horizontal="center" vertical="center"/>
    </xf>
    <xf numFmtId="58" fontId="57" fillId="3" borderId="7" xfId="0" applyNumberFormat="1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76" fontId="59" fillId="22" borderId="26" xfId="0" applyNumberFormat="1" applyFont="1" applyFill="1" applyBorder="1" applyAlignment="1">
      <alignment horizontal="right" vertical="center" indent="4"/>
    </xf>
    <xf numFmtId="176" fontId="59" fillId="23" borderId="26" xfId="0" applyNumberFormat="1" applyFont="1" applyFill="1" applyBorder="1" applyAlignment="1">
      <alignment horizontal="right" vertical="center" indent="4"/>
    </xf>
    <xf numFmtId="176" fontId="59" fillId="24" borderId="26" xfId="0" applyNumberFormat="1" applyFont="1" applyFill="1" applyBorder="1" applyAlignment="1">
      <alignment horizontal="right" vertical="center" indent="4"/>
    </xf>
    <xf numFmtId="176" fontId="59" fillId="25" borderId="26" xfId="0" applyNumberFormat="1" applyFont="1" applyFill="1" applyBorder="1" applyAlignment="1">
      <alignment horizontal="right" vertical="center" indent="4"/>
    </xf>
    <xf numFmtId="176" fontId="59" fillId="26" borderId="26" xfId="0" applyNumberFormat="1" applyFont="1" applyFill="1" applyBorder="1" applyAlignment="1">
      <alignment horizontal="right" vertical="center" indent="4"/>
    </xf>
    <xf numFmtId="176" fontId="59" fillId="27" borderId="26" xfId="0" applyNumberFormat="1" applyFont="1" applyFill="1" applyBorder="1" applyAlignment="1">
      <alignment horizontal="right" vertical="center" indent="4"/>
    </xf>
    <xf numFmtId="176" fontId="59" fillId="28" borderId="26" xfId="0" applyNumberFormat="1" applyFont="1" applyFill="1" applyBorder="1" applyAlignment="1">
      <alignment horizontal="right" vertical="center" indent="4"/>
    </xf>
    <xf numFmtId="176" fontId="59" fillId="29" borderId="26" xfId="0" applyNumberFormat="1" applyFont="1" applyFill="1" applyBorder="1" applyAlignment="1">
      <alignment horizontal="right" vertical="center" indent="4"/>
    </xf>
    <xf numFmtId="176" fontId="59" fillId="30" borderId="26" xfId="0" applyNumberFormat="1" applyFont="1" applyFill="1" applyBorder="1" applyAlignment="1">
      <alignment horizontal="right" vertical="center" indent="4"/>
    </xf>
    <xf numFmtId="176" fontId="59" fillId="31" borderId="26" xfId="0" applyNumberFormat="1" applyFont="1" applyFill="1" applyBorder="1" applyAlignment="1">
      <alignment horizontal="right" vertical="center" indent="4"/>
    </xf>
    <xf numFmtId="176" fontId="61" fillId="32" borderId="26" xfId="0" applyNumberFormat="1" applyFont="1" applyFill="1" applyBorder="1" applyAlignment="1">
      <alignment horizontal="right" vertical="center" indent="4"/>
    </xf>
    <xf numFmtId="176" fontId="61" fillId="33" borderId="26" xfId="0" applyNumberFormat="1" applyFont="1" applyFill="1" applyBorder="1" applyAlignment="1">
      <alignment horizontal="right" vertical="center" indent="4"/>
    </xf>
    <xf numFmtId="176" fontId="61" fillId="34" borderId="26" xfId="0" applyNumberFormat="1" applyFont="1" applyFill="1" applyBorder="1" applyAlignment="1">
      <alignment horizontal="right" vertical="center" indent="4"/>
    </xf>
    <xf numFmtId="176" fontId="61" fillId="35" borderId="26" xfId="0" applyNumberFormat="1" applyFont="1" applyFill="1" applyBorder="1" applyAlignment="1">
      <alignment horizontal="right" vertical="center" indent="4"/>
    </xf>
    <xf numFmtId="176" fontId="59" fillId="36" borderId="26" xfId="0" applyNumberFormat="1" applyFont="1" applyFill="1" applyBorder="1" applyAlignment="1">
      <alignment horizontal="right" vertical="center" indent="4"/>
    </xf>
    <xf numFmtId="176" fontId="63" fillId="3" borderId="26" xfId="0" applyNumberFormat="1" applyFont="1" applyFill="1" applyBorder="1" applyAlignment="1">
      <alignment horizontal="right" vertical="center" indent="4"/>
    </xf>
    <xf numFmtId="176" fontId="49" fillId="3" borderId="8" xfId="0" applyNumberFormat="1" applyFont="1" applyFill="1" applyBorder="1" applyAlignment="1">
      <alignment horizontal="right" vertical="center"/>
    </xf>
    <xf numFmtId="0" fontId="2" fillId="16" borderId="21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37" borderId="16" xfId="0" applyFont="1" applyFill="1" applyBorder="1" applyAlignment="1">
      <alignment horizontal="center" vertical="center"/>
    </xf>
    <xf numFmtId="0" fontId="64" fillId="3" borderId="17" xfId="0" applyFont="1" applyFill="1" applyBorder="1" applyAlignment="1">
      <alignment horizontal="right" vertical="center" wrapText="1"/>
    </xf>
    <xf numFmtId="0" fontId="66" fillId="3" borderId="17" xfId="0" applyFont="1" applyFill="1" applyBorder="1" applyAlignment="1">
      <alignment horizontal="right" vertical="center" wrapText="1"/>
    </xf>
    <xf numFmtId="0" fontId="67" fillId="3" borderId="17" xfId="0" applyFont="1" applyFill="1" applyBorder="1" applyAlignment="1">
      <alignment horizontal="right" vertical="center" wrapText="1"/>
    </xf>
    <xf numFmtId="176" fontId="59" fillId="15" borderId="26" xfId="0" applyNumberFormat="1" applyFont="1" applyFill="1" applyBorder="1" applyAlignment="1">
      <alignment horizontal="right" vertical="center" indent="4"/>
    </xf>
    <xf numFmtId="176" fontId="59" fillId="21" borderId="26" xfId="0" applyNumberFormat="1" applyFont="1" applyFill="1" applyBorder="1" applyAlignment="1">
      <alignment horizontal="right" vertical="center" indent="4"/>
    </xf>
    <xf numFmtId="176" fontId="61" fillId="38" borderId="26" xfId="0" applyNumberFormat="1" applyFont="1" applyFill="1" applyBorder="1" applyAlignment="1">
      <alignment horizontal="right" vertical="center" indent="4"/>
    </xf>
    <xf numFmtId="176" fontId="61" fillId="39" borderId="26" xfId="0" applyNumberFormat="1" applyFont="1" applyFill="1" applyBorder="1" applyAlignment="1">
      <alignment horizontal="right" vertical="center" indent="4"/>
    </xf>
    <xf numFmtId="176" fontId="59" fillId="41" borderId="26" xfId="0" applyNumberFormat="1" applyFont="1" applyFill="1" applyBorder="1" applyAlignment="1">
      <alignment horizontal="right" vertical="center" indent="4"/>
    </xf>
    <xf numFmtId="176" fontId="61" fillId="42" borderId="26" xfId="0" applyNumberFormat="1" applyFont="1" applyFill="1" applyBorder="1" applyAlignment="1">
      <alignment horizontal="right" vertical="center" indent="4"/>
    </xf>
    <xf numFmtId="176" fontId="59" fillId="43" borderId="26" xfId="0" applyNumberFormat="1" applyFont="1" applyFill="1" applyBorder="1" applyAlignment="1">
      <alignment horizontal="right" vertical="center" indent="4"/>
    </xf>
    <xf numFmtId="176" fontId="59" fillId="44" borderId="26" xfId="0" applyNumberFormat="1" applyFont="1" applyFill="1" applyBorder="1" applyAlignment="1">
      <alignment horizontal="right" vertical="center" indent="4"/>
    </xf>
    <xf numFmtId="176" fontId="61" fillId="45" borderId="26" xfId="0" applyNumberFormat="1" applyFont="1" applyFill="1" applyBorder="1" applyAlignment="1">
      <alignment horizontal="right" vertical="center" indent="4"/>
    </xf>
    <xf numFmtId="176" fontId="59" fillId="47" borderId="26" xfId="0" applyNumberFormat="1" applyFont="1" applyFill="1" applyBorder="1" applyAlignment="1">
      <alignment horizontal="right" vertical="center" indent="4"/>
    </xf>
    <xf numFmtId="176" fontId="59" fillId="48" borderId="26" xfId="0" applyNumberFormat="1" applyFont="1" applyFill="1" applyBorder="1" applyAlignment="1">
      <alignment horizontal="right" vertical="center" indent="4"/>
    </xf>
    <xf numFmtId="176" fontId="59" fillId="49" borderId="26" xfId="0" applyNumberFormat="1" applyFont="1" applyFill="1" applyBorder="1" applyAlignment="1">
      <alignment horizontal="right" vertical="center" indent="4"/>
    </xf>
    <xf numFmtId="176" fontId="59" fillId="50" borderId="26" xfId="0" applyNumberFormat="1" applyFont="1" applyFill="1" applyBorder="1" applyAlignment="1">
      <alignment horizontal="right" vertical="center" indent="4"/>
    </xf>
    <xf numFmtId="176" fontId="61" fillId="51" borderId="26" xfId="0" applyNumberFormat="1" applyFont="1" applyFill="1" applyBorder="1" applyAlignment="1">
      <alignment horizontal="right" vertical="center" indent="4"/>
    </xf>
    <xf numFmtId="176" fontId="61" fillId="52" borderId="26" xfId="0" applyNumberFormat="1" applyFont="1" applyFill="1" applyBorder="1" applyAlignment="1">
      <alignment horizontal="right" vertical="center" indent="4"/>
    </xf>
    <xf numFmtId="0" fontId="39" fillId="6" borderId="24" xfId="0" applyFont="1" applyFill="1" applyBorder="1" applyAlignment="1">
      <alignment horizontal="center" vertical="center"/>
    </xf>
    <xf numFmtId="0" fontId="39" fillId="6" borderId="0" xfId="0" applyFont="1" applyFill="1" applyAlignment="1">
      <alignment horizontal="center" vertical="center"/>
    </xf>
    <xf numFmtId="0" fontId="39" fillId="6" borderId="25" xfId="0" applyFont="1" applyFill="1" applyBorder="1" applyAlignment="1">
      <alignment horizontal="center" vertical="center"/>
    </xf>
    <xf numFmtId="58" fontId="43" fillId="0" borderId="17" xfId="0" applyNumberFormat="1" applyFont="1" applyBorder="1" applyAlignment="1">
      <alignment horizontal="center" vertical="center"/>
    </xf>
    <xf numFmtId="0" fontId="43" fillId="0" borderId="22" xfId="0" applyFont="1" applyBorder="1" applyAlignment="1">
      <alignment horizontal="center" vertical="center"/>
    </xf>
    <xf numFmtId="58" fontId="45" fillId="2" borderId="17" xfId="0" applyNumberFormat="1" applyFont="1" applyFill="1" applyBorder="1" applyAlignment="1">
      <alignment horizontal="center" vertical="center"/>
    </xf>
    <xf numFmtId="58" fontId="45" fillId="2" borderId="22" xfId="0" applyNumberFormat="1" applyFont="1" applyFill="1" applyBorder="1" applyAlignment="1">
      <alignment horizontal="center" vertical="center"/>
    </xf>
    <xf numFmtId="0" fontId="41" fillId="3" borderId="22" xfId="0" applyFont="1" applyFill="1" applyBorder="1" applyAlignment="1">
      <alignment horizontal="center" vertical="center"/>
    </xf>
    <xf numFmtId="0" fontId="41" fillId="3" borderId="23" xfId="0" applyFont="1" applyFill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1" xfId="0" applyNumberFormat="1" applyFont="1" applyFill="1" applyBorder="1" applyAlignment="1">
      <alignment horizontal="center" vertical="center"/>
    </xf>
    <xf numFmtId="58" fontId="47" fillId="5" borderId="13" xfId="0" applyNumberFormat="1" applyFont="1" applyFill="1" applyBorder="1" applyAlignment="1">
      <alignment horizontal="center" vertical="center"/>
    </xf>
    <xf numFmtId="58" fontId="47" fillId="5" borderId="0" xfId="0" applyNumberFormat="1" applyFont="1" applyFill="1" applyAlignment="1">
      <alignment horizontal="center" vertical="center"/>
    </xf>
    <xf numFmtId="0" fontId="46" fillId="3" borderId="11" xfId="0" applyFont="1" applyFill="1" applyBorder="1" applyAlignment="1">
      <alignment horizontal="center" vertical="center" wrapText="1"/>
    </xf>
    <xf numFmtId="0" fontId="46" fillId="3" borderId="3" xfId="0" applyFont="1" applyFill="1" applyBorder="1" applyAlignment="1">
      <alignment horizontal="center" vertical="center" wrapText="1"/>
    </xf>
    <xf numFmtId="0" fontId="46" fillId="3" borderId="12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176" fontId="60" fillId="53" borderId="26" xfId="0" applyNumberFormat="1" applyFont="1" applyFill="1" applyBorder="1" applyAlignment="1">
      <alignment horizontal="right" vertical="center" indent="4"/>
    </xf>
    <xf numFmtId="176" fontId="59" fillId="54" borderId="26" xfId="0" applyNumberFormat="1" applyFont="1" applyFill="1" applyBorder="1" applyAlignment="1">
      <alignment horizontal="right" vertical="center" indent="4"/>
    </xf>
    <xf numFmtId="176" fontId="59" fillId="55" borderId="26" xfId="0" applyNumberFormat="1" applyFont="1" applyFill="1" applyBorder="1" applyAlignment="1">
      <alignment horizontal="right" vertical="center" indent="4"/>
    </xf>
    <xf numFmtId="176" fontId="59" fillId="46" borderId="26" xfId="0" applyNumberFormat="1" applyFont="1" applyFill="1" applyBorder="1" applyAlignment="1">
      <alignment horizontal="right" vertical="center" indent="4"/>
    </xf>
    <xf numFmtId="176" fontId="59" fillId="56" borderId="26" xfId="0" applyNumberFormat="1" applyFont="1" applyFill="1" applyBorder="1" applyAlignment="1">
      <alignment horizontal="right" vertical="center" indent="4"/>
    </xf>
    <xf numFmtId="176" fontId="59" fillId="57" borderId="26" xfId="0" applyNumberFormat="1" applyFont="1" applyFill="1" applyBorder="1" applyAlignment="1">
      <alignment horizontal="right" vertical="center" indent="4"/>
    </xf>
    <xf numFmtId="176" fontId="59" fillId="58" borderId="26" xfId="0" applyNumberFormat="1" applyFont="1" applyFill="1" applyBorder="1" applyAlignment="1">
      <alignment horizontal="right" vertical="center" indent="4"/>
    </xf>
    <xf numFmtId="176" fontId="62" fillId="34" borderId="26" xfId="0" applyNumberFormat="1" applyFont="1" applyFill="1" applyBorder="1" applyAlignment="1">
      <alignment horizontal="right" vertical="center" indent="4"/>
    </xf>
    <xf numFmtId="176" fontId="61" fillId="59" borderId="26" xfId="0" applyNumberFormat="1" applyFont="1" applyFill="1" applyBorder="1" applyAlignment="1">
      <alignment horizontal="right" vertical="center" indent="4"/>
    </xf>
    <xf numFmtId="176" fontId="62" fillId="40" borderId="26" xfId="0" applyNumberFormat="1" applyFont="1" applyFill="1" applyBorder="1" applyAlignment="1">
      <alignment horizontal="right" vertical="center" indent="4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DL226"/>
  <sheetViews>
    <sheetView tabSelected="1" zoomScaleNormal="100" workbookViewId="0">
      <selection sqref="A1:E2"/>
    </sheetView>
  </sheetViews>
  <sheetFormatPr defaultRowHeight="13.9" x14ac:dyDescent="0.4"/>
  <cols>
    <col min="1" max="1" width="4.59765625" style="48" customWidth="1"/>
    <col min="2" max="3" width="3.59765625" style="48" customWidth="1"/>
    <col min="4" max="4" width="4.59765625" style="89" customWidth="1"/>
    <col min="5" max="5" width="4.59765625" customWidth="1"/>
    <col min="6" max="6" width="27.59765625" style="49" customWidth="1"/>
    <col min="7" max="7" width="19.59765625" style="50" customWidth="1"/>
    <col min="8" max="9" width="27.53125" style="48" customWidth="1"/>
    <col min="10" max="10" width="13.59765625" style="48" customWidth="1"/>
    <col min="11" max="11" width="11.59765625" style="50" customWidth="1"/>
    <col min="12" max="19" width="3.59765625" customWidth="1"/>
    <col min="20" max="20" width="2.59765625" customWidth="1"/>
  </cols>
  <sheetData>
    <row r="1" spans="1:116" ht="19.5" customHeight="1" x14ac:dyDescent="0.4">
      <c r="A1" s="143" t="s">
        <v>113</v>
      </c>
      <c r="B1" s="144"/>
      <c r="C1" s="144"/>
      <c r="D1" s="144"/>
      <c r="E1" s="145"/>
      <c r="F1" s="148" t="s">
        <v>332</v>
      </c>
      <c r="G1" s="149"/>
      <c r="H1" s="150" t="s">
        <v>320</v>
      </c>
      <c r="I1" s="150"/>
      <c r="J1" s="150"/>
      <c r="K1" s="151"/>
      <c r="O1" s="6"/>
      <c r="P1" s="28" t="s">
        <v>136</v>
      </c>
      <c r="R1" t="s">
        <v>144</v>
      </c>
      <c r="U1" s="62"/>
      <c r="V1" s="63"/>
      <c r="W1" s="63"/>
    </row>
    <row r="2" spans="1:116" ht="29.35" customHeight="1" thickBot="1" x14ac:dyDescent="0.45">
      <c r="A2" s="143"/>
      <c r="B2" s="144"/>
      <c r="C2" s="144"/>
      <c r="D2" s="144"/>
      <c r="E2" s="145"/>
      <c r="F2" s="146">
        <v>45963</v>
      </c>
      <c r="G2" s="147"/>
      <c r="H2" s="150"/>
      <c r="I2" s="150"/>
      <c r="J2" s="150"/>
      <c r="K2" s="151"/>
      <c r="L2" s="21"/>
      <c r="M2" s="21" t="s">
        <v>135</v>
      </c>
      <c r="N2" s="21"/>
      <c r="O2" s="21">
        <v>1</v>
      </c>
      <c r="P2" s="21">
        <v>2</v>
      </c>
      <c r="Q2" s="21">
        <v>3</v>
      </c>
      <c r="R2" s="27" t="s">
        <v>143</v>
      </c>
      <c r="S2" s="27" t="s">
        <v>142</v>
      </c>
      <c r="U2" s="62"/>
      <c r="V2" s="63"/>
      <c r="W2" s="63"/>
    </row>
    <row r="3" spans="1:116" ht="31.5" customHeight="1" thickBot="1" x14ac:dyDescent="0.45">
      <c r="A3" s="66" t="s">
        <v>92</v>
      </c>
      <c r="B3" s="64" t="s">
        <v>116</v>
      </c>
      <c r="C3" s="65" t="s">
        <v>111</v>
      </c>
      <c r="D3" s="51" t="s">
        <v>128</v>
      </c>
      <c r="E3" s="77" t="s">
        <v>100</v>
      </c>
      <c r="F3" s="73" t="s">
        <v>1</v>
      </c>
      <c r="G3" s="74" t="s">
        <v>2</v>
      </c>
      <c r="H3" s="60" t="s">
        <v>217</v>
      </c>
      <c r="I3" s="60" t="s">
        <v>218</v>
      </c>
      <c r="J3" s="68" t="s">
        <v>184</v>
      </c>
      <c r="K3" s="67" t="s">
        <v>185</v>
      </c>
      <c r="L3" s="35" t="s">
        <v>145</v>
      </c>
      <c r="M3" s="36" t="s">
        <v>137</v>
      </c>
      <c r="N3" s="35" t="s">
        <v>104</v>
      </c>
      <c r="O3" s="37" t="s">
        <v>130</v>
      </c>
      <c r="P3" s="38" t="s">
        <v>134</v>
      </c>
      <c r="Q3" s="39" t="s">
        <v>129</v>
      </c>
      <c r="R3" s="39" t="s">
        <v>131</v>
      </c>
      <c r="S3" s="40" t="s">
        <v>132</v>
      </c>
      <c r="U3" s="42" t="s">
        <v>115</v>
      </c>
      <c r="V3" s="43" t="s">
        <v>108</v>
      </c>
      <c r="W3" s="43" t="s">
        <v>33</v>
      </c>
      <c r="X3" s="43" t="s">
        <v>109</v>
      </c>
      <c r="Y3" s="43" t="s">
        <v>125</v>
      </c>
      <c r="Z3" s="43" t="s">
        <v>4</v>
      </c>
      <c r="AA3" s="43" t="s">
        <v>34</v>
      </c>
      <c r="AB3" s="43" t="s">
        <v>3</v>
      </c>
      <c r="AC3" s="43" t="s">
        <v>10</v>
      </c>
      <c r="AD3" s="43" t="s">
        <v>11</v>
      </c>
      <c r="AE3" s="43" t="s">
        <v>12</v>
      </c>
      <c r="AF3" s="43" t="s">
        <v>13</v>
      </c>
      <c r="AG3" s="43" t="s">
        <v>9</v>
      </c>
      <c r="AH3" s="43" t="s">
        <v>102</v>
      </c>
    </row>
    <row r="4" spans="1:116" ht="34.5" customHeight="1" thickBot="1" x14ac:dyDescent="0.45">
      <c r="A4" s="53">
        <v>1</v>
      </c>
      <c r="B4" s="79">
        <v>0</v>
      </c>
      <c r="C4" s="75"/>
      <c r="D4" s="90" t="s">
        <v>222</v>
      </c>
      <c r="E4" s="104">
        <v>0</v>
      </c>
      <c r="F4" s="59" t="s">
        <v>457</v>
      </c>
      <c r="G4" s="54" t="s">
        <v>225</v>
      </c>
      <c r="H4" s="110">
        <v>-6.4</v>
      </c>
      <c r="I4" s="115">
        <v>1.5</v>
      </c>
      <c r="J4" s="72">
        <v>50.476387000000003</v>
      </c>
      <c r="K4" s="69">
        <v>799</v>
      </c>
      <c r="L4" s="30">
        <v>1</v>
      </c>
      <c r="M4" s="14">
        <v>1</v>
      </c>
      <c r="N4" s="33" t="s">
        <v>96</v>
      </c>
      <c r="O4" s="17"/>
      <c r="P4" s="17"/>
      <c r="Q4" s="25">
        <v>1</v>
      </c>
      <c r="R4" s="18"/>
      <c r="S4" s="19"/>
      <c r="U4" s="44" t="s">
        <v>106</v>
      </c>
      <c r="V4" s="45" cm="1">
        <f t="array" ref="V4:DL4">TRANSPOSE(H4:H98)</f>
        <v>-6.4</v>
      </c>
      <c r="W4" s="45">
        <v>-8.3000000000000007</v>
      </c>
      <c r="X4" s="45">
        <v>-11.5</v>
      </c>
      <c r="Y4" s="45">
        <v>-13.4</v>
      </c>
      <c r="Z4" s="45">
        <v>-17.7</v>
      </c>
      <c r="AA4" s="45">
        <v>-2</v>
      </c>
      <c r="AB4" s="45">
        <v>-7</v>
      </c>
      <c r="AC4" s="45">
        <v>-4</v>
      </c>
      <c r="AD4" s="45">
        <v>-15.7</v>
      </c>
      <c r="AE4" s="45">
        <v>-19.399999999999999</v>
      </c>
      <c r="AF4" s="45">
        <v>-13.2</v>
      </c>
      <c r="AG4" s="45">
        <v>-14.7</v>
      </c>
      <c r="AH4" s="45">
        <v>-4.7</v>
      </c>
      <c r="AI4">
        <v>0</v>
      </c>
      <c r="AJ4">
        <v>0</v>
      </c>
      <c r="AK4">
        <v>-19.5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-23.8</v>
      </c>
      <c r="CT4">
        <v>0</v>
      </c>
      <c r="CU4">
        <v>-22.8</v>
      </c>
      <c r="CV4">
        <v>-22.2</v>
      </c>
      <c r="CW4">
        <v>-24.8</v>
      </c>
      <c r="CX4">
        <v>-23.7</v>
      </c>
      <c r="CY4">
        <v>-13.8</v>
      </c>
      <c r="CZ4">
        <v>-12.6</v>
      </c>
      <c r="DA4">
        <v>0</v>
      </c>
      <c r="DB4">
        <v>-7.4</v>
      </c>
      <c r="DC4">
        <v>0</v>
      </c>
      <c r="DD4">
        <v>-8.6999999999999993</v>
      </c>
      <c r="DE4">
        <v>0</v>
      </c>
      <c r="DF4">
        <v>0</v>
      </c>
      <c r="DG4">
        <v>0</v>
      </c>
      <c r="DH4">
        <v>-11.2</v>
      </c>
      <c r="DI4">
        <v>-1.7</v>
      </c>
      <c r="DJ4">
        <v>-6</v>
      </c>
      <c r="DK4">
        <v>-3.8</v>
      </c>
      <c r="DL4">
        <v>-1.1000000000000001</v>
      </c>
    </row>
    <row r="5" spans="1:116" ht="34.5" customHeight="1" thickBot="1" x14ac:dyDescent="0.45">
      <c r="A5" s="52">
        <v>2</v>
      </c>
      <c r="B5" s="80">
        <v>0</v>
      </c>
      <c r="C5" s="75"/>
      <c r="D5" s="90" t="s">
        <v>222</v>
      </c>
      <c r="E5" s="13"/>
      <c r="F5" s="125" t="s">
        <v>152</v>
      </c>
      <c r="G5" s="61" t="s">
        <v>224</v>
      </c>
      <c r="H5" s="132">
        <v>-8.3000000000000007</v>
      </c>
      <c r="I5" s="116">
        <v>3.2</v>
      </c>
      <c r="J5" s="72">
        <v>49.905966669999998</v>
      </c>
      <c r="K5" s="70">
        <v>997</v>
      </c>
      <c r="L5" s="30">
        <v>1</v>
      </c>
      <c r="M5" s="14">
        <v>1</v>
      </c>
      <c r="N5" s="33" t="s">
        <v>96</v>
      </c>
      <c r="O5" s="17"/>
      <c r="P5" s="17"/>
      <c r="Q5" s="25">
        <v>1</v>
      </c>
      <c r="R5" s="18"/>
      <c r="S5" s="19"/>
      <c r="U5" s="44" t="s">
        <v>107</v>
      </c>
      <c r="V5" s="45" cm="1">
        <f t="array" ref="V5:DL5">TRANSPOSE(I4:I98)</f>
        <v>1.5</v>
      </c>
      <c r="W5" s="45">
        <v>3.2</v>
      </c>
      <c r="X5" s="45">
        <v>0.8</v>
      </c>
      <c r="Y5" s="45">
        <v>5.7</v>
      </c>
      <c r="Z5" s="45">
        <v>5.5</v>
      </c>
      <c r="AA5" s="45">
        <v>1.9</v>
      </c>
      <c r="AB5" s="45">
        <v>12</v>
      </c>
      <c r="AC5" s="45">
        <v>7</v>
      </c>
      <c r="AD5" s="45">
        <v>-0.1</v>
      </c>
      <c r="AE5" s="45">
        <v>1.5</v>
      </c>
      <c r="AF5" s="45">
        <v>6</v>
      </c>
      <c r="AG5" s="45">
        <v>-6.4</v>
      </c>
      <c r="AH5" s="45">
        <v>10</v>
      </c>
      <c r="AI5">
        <v>0</v>
      </c>
      <c r="AJ5">
        <v>0</v>
      </c>
      <c r="AK5">
        <v>2.5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-5.7</v>
      </c>
      <c r="CT5">
        <v>0</v>
      </c>
      <c r="CU5">
        <v>-2.5</v>
      </c>
      <c r="CV5">
        <v>-4.3</v>
      </c>
      <c r="CW5">
        <v>-3.3</v>
      </c>
      <c r="CX5">
        <v>-2.9</v>
      </c>
      <c r="CY5">
        <v>-2.9</v>
      </c>
      <c r="CZ5">
        <v>1.3</v>
      </c>
      <c r="DA5">
        <v>0</v>
      </c>
      <c r="DB5">
        <v>1.4</v>
      </c>
      <c r="DC5">
        <v>0</v>
      </c>
      <c r="DD5">
        <v>2.2999999999999998</v>
      </c>
      <c r="DE5">
        <v>0</v>
      </c>
      <c r="DF5">
        <v>0</v>
      </c>
      <c r="DG5">
        <v>0</v>
      </c>
      <c r="DH5">
        <v>-2.2000000000000002</v>
      </c>
      <c r="DI5">
        <v>8.4</v>
      </c>
      <c r="DJ5">
        <v>4.3</v>
      </c>
      <c r="DK5">
        <v>3.8</v>
      </c>
      <c r="DL5">
        <v>4.0999999999999996</v>
      </c>
    </row>
    <row r="6" spans="1:116" ht="34.5" customHeight="1" thickBot="1" x14ac:dyDescent="0.45">
      <c r="A6" s="52">
        <v>3</v>
      </c>
      <c r="B6" s="80">
        <v>0</v>
      </c>
      <c r="C6" s="75"/>
      <c r="D6" s="90" t="s">
        <v>222</v>
      </c>
      <c r="E6" s="13"/>
      <c r="F6" s="125" t="s">
        <v>454</v>
      </c>
      <c r="G6" s="54" t="s">
        <v>186</v>
      </c>
      <c r="H6" s="107">
        <v>-11.5</v>
      </c>
      <c r="I6" s="130">
        <v>0.8</v>
      </c>
      <c r="J6" s="72">
        <v>49.655124999999998</v>
      </c>
      <c r="K6" s="70">
        <v>1286</v>
      </c>
      <c r="L6" s="30">
        <v>1</v>
      </c>
      <c r="M6" s="14">
        <v>1</v>
      </c>
      <c r="N6" s="33" t="s">
        <v>96</v>
      </c>
      <c r="O6" s="17"/>
      <c r="P6" s="17"/>
      <c r="Q6" s="25">
        <v>1</v>
      </c>
      <c r="R6" s="18"/>
      <c r="S6" s="19"/>
      <c r="U6" s="46"/>
      <c r="V6" s="47"/>
      <c r="W6" s="47"/>
    </row>
    <row r="7" spans="1:116" ht="34.5" customHeight="1" thickBot="1" x14ac:dyDescent="0.45">
      <c r="A7" s="52">
        <v>4</v>
      </c>
      <c r="B7" s="80">
        <v>0</v>
      </c>
      <c r="C7" s="75"/>
      <c r="D7" s="90" t="s">
        <v>222</v>
      </c>
      <c r="E7" s="13"/>
      <c r="F7" s="125" t="s">
        <v>153</v>
      </c>
      <c r="G7" s="54" t="s">
        <v>187</v>
      </c>
      <c r="H7" s="140">
        <v>-13.4</v>
      </c>
      <c r="I7" s="118">
        <v>5.7</v>
      </c>
      <c r="J7" s="72">
        <v>48.646230559999999</v>
      </c>
      <c r="K7" s="69">
        <v>1811</v>
      </c>
      <c r="L7" s="30">
        <v>1</v>
      </c>
      <c r="M7" s="14">
        <v>1</v>
      </c>
      <c r="N7" s="33" t="s">
        <v>96</v>
      </c>
      <c r="O7" s="17"/>
      <c r="P7" s="17"/>
      <c r="Q7" s="25">
        <v>1</v>
      </c>
      <c r="R7" s="18"/>
      <c r="S7" s="19"/>
      <c r="U7" s="46"/>
      <c r="V7" s="47"/>
      <c r="W7" s="47"/>
    </row>
    <row r="8" spans="1:116" ht="34.5" customHeight="1" thickBot="1" x14ac:dyDescent="0.45">
      <c r="A8" s="52">
        <v>5</v>
      </c>
      <c r="B8" s="80">
        <v>0</v>
      </c>
      <c r="C8" s="75"/>
      <c r="D8" s="90" t="s">
        <v>222</v>
      </c>
      <c r="E8" s="104">
        <v>0</v>
      </c>
      <c r="F8" s="59" t="s">
        <v>153</v>
      </c>
      <c r="G8" s="54" t="s">
        <v>4</v>
      </c>
      <c r="H8" s="120">
        <v>-17.7</v>
      </c>
      <c r="I8" s="118">
        <v>5.5</v>
      </c>
      <c r="J8" s="72">
        <v>47.209609999999998</v>
      </c>
      <c r="K8" s="69">
        <v>2156</v>
      </c>
      <c r="L8" s="30">
        <v>1</v>
      </c>
      <c r="M8" s="14">
        <v>1</v>
      </c>
      <c r="N8" s="33" t="s">
        <v>96</v>
      </c>
      <c r="O8" s="17"/>
      <c r="P8" s="17"/>
      <c r="Q8" s="25">
        <v>1</v>
      </c>
      <c r="R8" s="18"/>
      <c r="S8" s="19"/>
      <c r="U8" s="46"/>
      <c r="V8" s="47"/>
      <c r="W8" s="47"/>
    </row>
    <row r="9" spans="1:116" ht="34.5" customHeight="1" thickBot="1" x14ac:dyDescent="0.45">
      <c r="A9" s="52">
        <v>6</v>
      </c>
      <c r="B9" s="80">
        <v>0</v>
      </c>
      <c r="C9" s="75"/>
      <c r="D9" s="90" t="s">
        <v>222</v>
      </c>
      <c r="E9" s="13"/>
      <c r="F9" s="125" t="s">
        <v>154</v>
      </c>
      <c r="G9" s="54" t="s">
        <v>34</v>
      </c>
      <c r="H9" s="119">
        <v>-2</v>
      </c>
      <c r="I9" s="115">
        <v>1.9</v>
      </c>
      <c r="J9" s="72">
        <v>51.356372219999997</v>
      </c>
      <c r="K9" s="69">
        <v>1546</v>
      </c>
      <c r="L9" s="30">
        <v>1</v>
      </c>
      <c r="M9" s="14">
        <v>1</v>
      </c>
      <c r="N9" s="33" t="s">
        <v>96</v>
      </c>
      <c r="O9" s="17"/>
      <c r="P9" s="17"/>
      <c r="Q9" s="25">
        <v>1</v>
      </c>
      <c r="R9" s="18"/>
      <c r="S9" s="19"/>
      <c r="U9" s="46"/>
      <c r="V9" s="47"/>
      <c r="W9" s="47"/>
    </row>
    <row r="10" spans="1:116" ht="34.5" customHeight="1" thickBot="1" x14ac:dyDescent="0.45">
      <c r="A10" s="52">
        <v>7</v>
      </c>
      <c r="B10" s="80">
        <v>0</v>
      </c>
      <c r="C10" s="75"/>
      <c r="D10" s="90" t="s">
        <v>222</v>
      </c>
      <c r="E10" s="13"/>
      <c r="F10" s="125" t="s">
        <v>155</v>
      </c>
      <c r="G10" s="54" t="s">
        <v>3</v>
      </c>
      <c r="H10" s="120">
        <v>-7</v>
      </c>
      <c r="I10" s="172">
        <v>12</v>
      </c>
      <c r="J10" s="72">
        <v>49.748916600000001</v>
      </c>
      <c r="K10" s="70">
        <v>675</v>
      </c>
      <c r="L10" s="30">
        <v>1</v>
      </c>
      <c r="M10" s="14">
        <v>1</v>
      </c>
      <c r="N10" s="33" t="s">
        <v>96</v>
      </c>
      <c r="O10" s="17"/>
      <c r="P10" s="17"/>
      <c r="Q10" s="25">
        <v>1</v>
      </c>
      <c r="R10" s="18"/>
      <c r="S10" s="19"/>
      <c r="U10" s="46"/>
      <c r="V10" s="47"/>
      <c r="W10" s="47"/>
    </row>
    <row r="11" spans="1:116" ht="34.5" customHeight="1" thickBot="1" x14ac:dyDescent="0.45">
      <c r="A11" s="52">
        <v>8</v>
      </c>
      <c r="B11" s="80">
        <v>0</v>
      </c>
      <c r="C11" s="75" t="s">
        <v>221</v>
      </c>
      <c r="D11" s="90" t="s">
        <v>222</v>
      </c>
      <c r="E11" s="13"/>
      <c r="F11" s="125" t="s">
        <v>152</v>
      </c>
      <c r="G11" s="54" t="s">
        <v>10</v>
      </c>
      <c r="H11" s="112">
        <v>-4</v>
      </c>
      <c r="I11" s="142">
        <v>7</v>
      </c>
      <c r="J11" s="72">
        <v>49.971620000000001</v>
      </c>
      <c r="K11" s="70">
        <v>937</v>
      </c>
      <c r="L11" s="30">
        <v>1</v>
      </c>
      <c r="M11" s="14">
        <v>1</v>
      </c>
      <c r="N11" s="33" t="s">
        <v>96</v>
      </c>
      <c r="O11" s="17"/>
      <c r="P11" s="17"/>
      <c r="Q11" s="25">
        <v>1</v>
      </c>
      <c r="R11" s="18"/>
      <c r="S11" s="19"/>
      <c r="U11" s="41"/>
      <c r="V11" s="41"/>
      <c r="W11" s="41"/>
    </row>
    <row r="12" spans="1:116" ht="34.5" customHeight="1" thickBot="1" x14ac:dyDescent="0.45">
      <c r="A12" s="52">
        <v>9</v>
      </c>
      <c r="B12" s="80">
        <v>0</v>
      </c>
      <c r="C12" s="75" t="s">
        <v>221</v>
      </c>
      <c r="D12" s="90" t="s">
        <v>222</v>
      </c>
      <c r="E12" s="13"/>
      <c r="F12" s="125" t="s">
        <v>153</v>
      </c>
      <c r="G12" s="54" t="s">
        <v>11</v>
      </c>
      <c r="H12" s="105">
        <v>-15.7</v>
      </c>
      <c r="I12" s="114">
        <v>-0.1</v>
      </c>
      <c r="J12" s="72">
        <v>49.700499999999998</v>
      </c>
      <c r="K12" s="70">
        <v>1424</v>
      </c>
      <c r="L12" s="30">
        <v>1</v>
      </c>
      <c r="M12" s="14">
        <v>1</v>
      </c>
      <c r="N12" s="33" t="s">
        <v>96</v>
      </c>
      <c r="O12" s="17"/>
      <c r="P12" s="17"/>
      <c r="Q12" s="25">
        <v>1</v>
      </c>
      <c r="R12" s="18"/>
      <c r="S12" s="19"/>
      <c r="U12" s="41"/>
      <c r="V12" s="41"/>
      <c r="W12" s="41"/>
    </row>
    <row r="13" spans="1:116" ht="34.5" customHeight="1" thickBot="1" x14ac:dyDescent="0.45">
      <c r="A13" s="52">
        <v>10</v>
      </c>
      <c r="B13" s="80">
        <v>0</v>
      </c>
      <c r="C13" s="75" t="s">
        <v>221</v>
      </c>
      <c r="D13" s="90" t="s">
        <v>222</v>
      </c>
      <c r="E13" s="13"/>
      <c r="F13" s="125" t="s">
        <v>153</v>
      </c>
      <c r="G13" s="54" t="s">
        <v>12</v>
      </c>
      <c r="H13" s="134">
        <v>-19.399999999999999</v>
      </c>
      <c r="I13" s="115">
        <v>1.5</v>
      </c>
      <c r="J13" s="72">
        <v>48.747999999999998</v>
      </c>
      <c r="K13" s="70">
        <v>1931</v>
      </c>
      <c r="L13" s="30">
        <v>1</v>
      </c>
      <c r="M13" s="14">
        <v>1</v>
      </c>
      <c r="N13" s="33" t="s">
        <v>96</v>
      </c>
      <c r="O13" s="17"/>
      <c r="P13" s="17"/>
      <c r="Q13" s="25">
        <v>1</v>
      </c>
      <c r="R13" s="18"/>
      <c r="S13" s="19"/>
      <c r="U13" s="41"/>
      <c r="V13" s="41"/>
      <c r="W13" s="41"/>
    </row>
    <row r="14" spans="1:116" ht="34.5" customHeight="1" thickBot="1" x14ac:dyDescent="0.45">
      <c r="A14" s="52">
        <v>11</v>
      </c>
      <c r="B14" s="80">
        <v>0</v>
      </c>
      <c r="C14" s="75" t="s">
        <v>221</v>
      </c>
      <c r="D14" s="90" t="s">
        <v>222</v>
      </c>
      <c r="E14" s="13"/>
      <c r="F14" s="125" t="s">
        <v>153</v>
      </c>
      <c r="G14" s="54" t="s">
        <v>13</v>
      </c>
      <c r="H14" s="120">
        <v>-13.2</v>
      </c>
      <c r="I14" s="136">
        <v>6</v>
      </c>
      <c r="J14" s="72">
        <v>48.763053900000003</v>
      </c>
      <c r="K14" s="69">
        <v>1726</v>
      </c>
      <c r="L14" s="30">
        <v>1</v>
      </c>
      <c r="M14" s="14">
        <v>1</v>
      </c>
      <c r="N14" s="33" t="s">
        <v>96</v>
      </c>
      <c r="O14" s="17"/>
      <c r="P14" s="17"/>
      <c r="Q14" s="25">
        <v>1</v>
      </c>
      <c r="R14" s="18"/>
      <c r="S14" s="19"/>
      <c r="U14" s="41"/>
      <c r="V14" s="41"/>
      <c r="W14" s="41"/>
    </row>
    <row r="15" spans="1:116" ht="34.5" customHeight="1" thickBot="1" x14ac:dyDescent="0.45">
      <c r="A15" s="52">
        <v>12</v>
      </c>
      <c r="B15" s="80">
        <v>0</v>
      </c>
      <c r="C15" s="75" t="s">
        <v>221</v>
      </c>
      <c r="D15" s="90" t="s">
        <v>222</v>
      </c>
      <c r="E15" s="104">
        <v>0</v>
      </c>
      <c r="F15" s="59" t="s">
        <v>154</v>
      </c>
      <c r="G15" s="54" t="s">
        <v>9</v>
      </c>
      <c r="H15" s="169">
        <v>-14.7</v>
      </c>
      <c r="I15" s="110">
        <v>-6.4</v>
      </c>
      <c r="J15" s="72">
        <v>51.113950000000003</v>
      </c>
      <c r="K15" s="69">
        <v>1585</v>
      </c>
      <c r="L15" s="30">
        <v>1</v>
      </c>
      <c r="M15" s="14">
        <v>1</v>
      </c>
      <c r="N15" s="33" t="s">
        <v>96</v>
      </c>
      <c r="O15" s="17"/>
      <c r="P15" s="17"/>
      <c r="Q15" s="25">
        <v>1</v>
      </c>
      <c r="R15" s="18"/>
      <c r="S15" s="19"/>
      <c r="U15" s="47"/>
      <c r="V15" s="47"/>
      <c r="W15" s="47"/>
    </row>
    <row r="16" spans="1:116" ht="34.5" customHeight="1" thickBot="1" x14ac:dyDescent="0.45">
      <c r="A16" s="52">
        <v>13</v>
      </c>
      <c r="B16" s="80">
        <v>0</v>
      </c>
      <c r="C16" s="75" t="s">
        <v>221</v>
      </c>
      <c r="D16" s="90" t="s">
        <v>222</v>
      </c>
      <c r="E16" s="13"/>
      <c r="F16" s="125" t="s">
        <v>156</v>
      </c>
      <c r="G16" s="54" t="s">
        <v>102</v>
      </c>
      <c r="H16" s="135">
        <v>-4.7</v>
      </c>
      <c r="I16" s="141">
        <v>10</v>
      </c>
      <c r="J16" s="72">
        <v>47.918445599999998</v>
      </c>
      <c r="K16" s="70">
        <v>1304</v>
      </c>
      <c r="L16" s="30">
        <v>1</v>
      </c>
      <c r="M16" s="14">
        <v>1</v>
      </c>
      <c r="N16" s="33" t="s">
        <v>96</v>
      </c>
      <c r="O16" s="17"/>
      <c r="P16" s="17"/>
      <c r="Q16" s="25">
        <v>1</v>
      </c>
      <c r="R16" s="18"/>
      <c r="S16" s="19"/>
      <c r="U16" s="47"/>
      <c r="V16" s="47"/>
      <c r="W16" s="47"/>
    </row>
    <row r="17" spans="1:23" ht="34.5" customHeight="1" thickBot="1" x14ac:dyDescent="0.45">
      <c r="A17" s="52">
        <v>14</v>
      </c>
      <c r="B17" s="80"/>
      <c r="C17" s="75"/>
      <c r="D17" s="91"/>
      <c r="E17" s="13"/>
      <c r="F17" s="125" t="s">
        <v>156</v>
      </c>
      <c r="G17" s="54" t="s">
        <v>304</v>
      </c>
      <c r="H17" s="88"/>
      <c r="I17" s="88"/>
      <c r="J17" s="72">
        <v>47.988666500000001</v>
      </c>
      <c r="K17" s="70">
        <v>1532</v>
      </c>
      <c r="L17" s="30">
        <v>1</v>
      </c>
      <c r="M17" s="14">
        <v>1</v>
      </c>
      <c r="N17" s="33" t="s">
        <v>282</v>
      </c>
      <c r="O17" s="17"/>
      <c r="P17" s="17"/>
      <c r="Q17" s="25">
        <v>1</v>
      </c>
      <c r="R17" s="18"/>
      <c r="S17" s="19"/>
      <c r="U17" s="47"/>
      <c r="V17" s="47"/>
      <c r="W17" s="47"/>
    </row>
    <row r="18" spans="1:23" ht="34.5" customHeight="1" thickBot="1" x14ac:dyDescent="0.45">
      <c r="A18" s="52">
        <v>15</v>
      </c>
      <c r="B18" s="80"/>
      <c r="C18" s="75" t="s">
        <v>221</v>
      </c>
      <c r="D18" s="91"/>
      <c r="E18" s="13"/>
      <c r="F18" s="125" t="s">
        <v>156</v>
      </c>
      <c r="G18" s="54" t="s">
        <v>305</v>
      </c>
      <c r="H18" s="88"/>
      <c r="I18" s="88"/>
      <c r="J18" s="72">
        <v>47.849437700000003</v>
      </c>
      <c r="K18" s="70">
        <v>1273</v>
      </c>
      <c r="L18" s="30">
        <v>1</v>
      </c>
      <c r="M18" s="14">
        <v>1</v>
      </c>
      <c r="N18" s="33" t="s">
        <v>282</v>
      </c>
      <c r="O18" s="17"/>
      <c r="P18" s="17"/>
      <c r="Q18" s="25">
        <v>1</v>
      </c>
      <c r="R18" s="18"/>
      <c r="S18" s="19"/>
      <c r="U18" s="47"/>
      <c r="V18" s="47"/>
      <c r="W18" s="47"/>
    </row>
    <row r="19" spans="1:23" ht="34.5" customHeight="1" thickBot="1" x14ac:dyDescent="0.45">
      <c r="A19" s="52">
        <v>16</v>
      </c>
      <c r="B19" s="80"/>
      <c r="C19" s="75"/>
      <c r="D19" s="91" t="s">
        <v>222</v>
      </c>
      <c r="E19" s="13"/>
      <c r="F19" s="125" t="s">
        <v>157</v>
      </c>
      <c r="G19" s="54" t="s">
        <v>35</v>
      </c>
      <c r="H19" s="134">
        <v>-19.5</v>
      </c>
      <c r="I19" s="120">
        <v>2.5</v>
      </c>
      <c r="J19" s="72">
        <v>47.22730833</v>
      </c>
      <c r="K19" s="70">
        <v>2422</v>
      </c>
      <c r="L19" s="30">
        <v>1</v>
      </c>
      <c r="M19" s="14">
        <v>1</v>
      </c>
      <c r="N19" s="33" t="s">
        <v>96</v>
      </c>
      <c r="O19" s="17"/>
      <c r="P19" s="17"/>
      <c r="Q19" s="25">
        <v>1</v>
      </c>
      <c r="R19" s="18"/>
      <c r="S19" s="19"/>
      <c r="U19" s="47"/>
      <c r="V19" s="47"/>
      <c r="W19" s="47"/>
    </row>
    <row r="20" spans="1:23" ht="34.5" customHeight="1" thickBot="1" x14ac:dyDescent="0.45">
      <c r="A20" s="52">
        <v>17</v>
      </c>
      <c r="B20" s="80"/>
      <c r="C20" s="75"/>
      <c r="D20" s="91"/>
      <c r="E20" s="13"/>
      <c r="F20" s="125" t="s">
        <v>157</v>
      </c>
      <c r="G20" s="54" t="s">
        <v>36</v>
      </c>
      <c r="H20" s="88"/>
      <c r="I20" s="88"/>
      <c r="J20" s="72">
        <v>47.016469999999998</v>
      </c>
      <c r="K20" s="70">
        <v>2034</v>
      </c>
      <c r="L20" s="30">
        <v>1</v>
      </c>
      <c r="M20" s="14">
        <v>1</v>
      </c>
      <c r="N20" s="33" t="s">
        <v>96</v>
      </c>
      <c r="O20" s="17"/>
      <c r="P20" s="17"/>
      <c r="Q20" s="25">
        <v>1</v>
      </c>
      <c r="R20" s="18"/>
      <c r="S20" s="19"/>
      <c r="U20" s="47"/>
      <c r="V20" s="47"/>
      <c r="W20" s="47"/>
    </row>
    <row r="21" spans="1:23" ht="34.5" customHeight="1" thickBot="1" x14ac:dyDescent="0.45">
      <c r="A21" s="52">
        <v>18</v>
      </c>
      <c r="B21" s="80"/>
      <c r="C21" s="75" t="s">
        <v>221</v>
      </c>
      <c r="D21" s="91"/>
      <c r="E21" s="13"/>
      <c r="F21" s="125" t="s">
        <v>157</v>
      </c>
      <c r="G21" s="54" t="s">
        <v>281</v>
      </c>
      <c r="H21" s="88"/>
      <c r="I21" s="88"/>
      <c r="J21" s="72">
        <v>46.812109999999997</v>
      </c>
      <c r="K21" s="70">
        <v>2258</v>
      </c>
      <c r="L21" s="30">
        <v>1</v>
      </c>
      <c r="M21" s="14">
        <v>1</v>
      </c>
      <c r="N21" s="33" t="s">
        <v>282</v>
      </c>
      <c r="O21" s="17"/>
      <c r="P21" s="17"/>
      <c r="Q21" s="25">
        <v>1</v>
      </c>
      <c r="R21" s="18"/>
      <c r="S21" s="19"/>
      <c r="U21" s="47"/>
      <c r="V21" s="47"/>
      <c r="W21" s="47"/>
    </row>
    <row r="22" spans="1:23" ht="34.5" customHeight="1" thickBot="1" x14ac:dyDescent="0.45">
      <c r="A22" s="52">
        <v>19</v>
      </c>
      <c r="B22" s="80"/>
      <c r="C22" s="75" t="s">
        <v>221</v>
      </c>
      <c r="D22" s="91"/>
      <c r="E22" s="13"/>
      <c r="F22" s="125" t="s">
        <v>157</v>
      </c>
      <c r="G22" s="54" t="s">
        <v>283</v>
      </c>
      <c r="H22" s="88"/>
      <c r="I22" s="88"/>
      <c r="J22" s="72">
        <v>46.702083600000002</v>
      </c>
      <c r="K22" s="70">
        <v>2128</v>
      </c>
      <c r="L22" s="30">
        <v>1</v>
      </c>
      <c r="M22" s="14">
        <v>1</v>
      </c>
      <c r="N22" s="33" t="s">
        <v>282</v>
      </c>
      <c r="O22" s="17"/>
      <c r="P22" s="17"/>
      <c r="Q22" s="25">
        <v>1</v>
      </c>
      <c r="R22" s="18"/>
      <c r="S22" s="19"/>
      <c r="U22" s="47"/>
      <c r="V22" s="47"/>
      <c r="W22" s="47"/>
    </row>
    <row r="23" spans="1:23" ht="34.5" customHeight="1" thickBot="1" x14ac:dyDescent="0.45">
      <c r="A23" s="52">
        <v>20</v>
      </c>
      <c r="B23" s="80"/>
      <c r="C23" s="75"/>
      <c r="D23" s="91"/>
      <c r="E23" s="13"/>
      <c r="F23" s="125" t="s">
        <v>158</v>
      </c>
      <c r="G23" s="54" t="s">
        <v>37</v>
      </c>
      <c r="H23" s="88"/>
      <c r="I23" s="88"/>
      <c r="J23" s="72">
        <v>48.332500000000003</v>
      </c>
      <c r="K23" s="69">
        <v>1166</v>
      </c>
      <c r="L23" s="30">
        <v>1</v>
      </c>
      <c r="M23" s="14">
        <v>1</v>
      </c>
      <c r="N23" s="33" t="s">
        <v>96</v>
      </c>
      <c r="O23" s="17"/>
      <c r="P23" s="17"/>
      <c r="Q23" s="25">
        <v>1</v>
      </c>
      <c r="R23" s="18"/>
      <c r="S23" s="19"/>
    </row>
    <row r="24" spans="1:23" ht="34.5" customHeight="1" thickBot="1" x14ac:dyDescent="0.45">
      <c r="A24" s="52">
        <v>21</v>
      </c>
      <c r="B24" s="80"/>
      <c r="C24" s="75"/>
      <c r="D24" s="91"/>
      <c r="E24" s="13"/>
      <c r="F24" s="125" t="s">
        <v>158</v>
      </c>
      <c r="G24" s="54" t="s">
        <v>38</v>
      </c>
      <c r="H24" s="88"/>
      <c r="I24" s="88"/>
      <c r="J24" s="72">
        <v>48.50137222</v>
      </c>
      <c r="K24" s="69">
        <v>1262</v>
      </c>
      <c r="L24" s="30">
        <v>1</v>
      </c>
      <c r="M24" s="14">
        <v>1</v>
      </c>
      <c r="N24" s="33" t="s">
        <v>96</v>
      </c>
      <c r="O24" s="17"/>
      <c r="P24" s="17"/>
      <c r="Q24" s="25">
        <v>1</v>
      </c>
      <c r="R24" s="18"/>
      <c r="S24" s="19"/>
    </row>
    <row r="25" spans="1:23" ht="34.5" customHeight="1" thickBot="1" x14ac:dyDescent="0.45">
      <c r="A25" s="52">
        <v>22</v>
      </c>
      <c r="B25" s="80"/>
      <c r="C25" s="75"/>
      <c r="D25" s="91"/>
      <c r="E25" s="13"/>
      <c r="F25" s="125" t="s">
        <v>158</v>
      </c>
      <c r="G25" s="54" t="s">
        <v>39</v>
      </c>
      <c r="H25" s="88"/>
      <c r="I25" s="88"/>
      <c r="J25" s="72">
        <v>46.590800000000002</v>
      </c>
      <c r="K25" s="69">
        <v>1716</v>
      </c>
      <c r="L25" s="30">
        <v>1</v>
      </c>
      <c r="M25" s="14">
        <v>1</v>
      </c>
      <c r="N25" s="33" t="s">
        <v>96</v>
      </c>
      <c r="O25" s="17"/>
      <c r="P25" s="17"/>
      <c r="Q25" s="25">
        <v>1</v>
      </c>
      <c r="R25" s="18"/>
      <c r="S25" s="19"/>
    </row>
    <row r="26" spans="1:23" ht="34.5" customHeight="1" thickBot="1" x14ac:dyDescent="0.45">
      <c r="A26" s="52">
        <v>23</v>
      </c>
      <c r="B26" s="80"/>
      <c r="C26" s="75" t="s">
        <v>221</v>
      </c>
      <c r="D26" s="91"/>
      <c r="E26" s="13"/>
      <c r="F26" s="125" t="s">
        <v>158</v>
      </c>
      <c r="G26" s="54" t="s">
        <v>284</v>
      </c>
      <c r="H26" s="88"/>
      <c r="I26" s="88"/>
      <c r="J26" s="72">
        <v>46.094700000000003</v>
      </c>
      <c r="K26" s="69">
        <v>1187</v>
      </c>
      <c r="L26" s="30">
        <v>1</v>
      </c>
      <c r="M26" s="14">
        <v>1</v>
      </c>
      <c r="N26" s="33" t="s">
        <v>282</v>
      </c>
      <c r="O26" s="17"/>
      <c r="P26" s="17"/>
      <c r="Q26" s="25">
        <v>1</v>
      </c>
      <c r="R26" s="18"/>
      <c r="S26" s="19"/>
    </row>
    <row r="27" spans="1:23" ht="34.5" customHeight="1" thickBot="1" x14ac:dyDescent="0.45">
      <c r="A27" s="52">
        <v>24</v>
      </c>
      <c r="B27" s="80"/>
      <c r="C27" s="75"/>
      <c r="D27" s="91"/>
      <c r="E27" s="13"/>
      <c r="F27" s="125" t="s">
        <v>347</v>
      </c>
      <c r="G27" s="54" t="s">
        <v>352</v>
      </c>
      <c r="H27" s="88"/>
      <c r="I27" s="88"/>
      <c r="J27" s="72">
        <v>46.694168099999999</v>
      </c>
      <c r="K27" s="69">
        <v>2014</v>
      </c>
      <c r="L27" s="30">
        <v>1</v>
      </c>
      <c r="M27" s="14">
        <v>1</v>
      </c>
      <c r="N27" s="33" t="s">
        <v>282</v>
      </c>
      <c r="O27" s="17"/>
      <c r="P27" s="17"/>
      <c r="Q27" s="25">
        <v>1</v>
      </c>
      <c r="R27" s="18"/>
      <c r="S27" s="19"/>
    </row>
    <row r="28" spans="1:23" ht="34.5" customHeight="1" thickBot="1" x14ac:dyDescent="0.45">
      <c r="A28" s="52">
        <v>25</v>
      </c>
      <c r="B28" s="80"/>
      <c r="C28" s="75"/>
      <c r="D28" s="91"/>
      <c r="E28" s="13"/>
      <c r="F28" s="125" t="s">
        <v>344</v>
      </c>
      <c r="G28" s="54" t="s">
        <v>345</v>
      </c>
      <c r="H28" s="88"/>
      <c r="I28" s="88"/>
      <c r="J28" s="72">
        <v>45.159085079999997</v>
      </c>
      <c r="K28" s="69">
        <v>2448</v>
      </c>
      <c r="L28" s="30">
        <v>1</v>
      </c>
      <c r="M28" s="14">
        <v>1</v>
      </c>
      <c r="N28" s="33" t="s">
        <v>282</v>
      </c>
      <c r="O28" s="17"/>
      <c r="P28" s="17"/>
      <c r="Q28" s="25">
        <v>1</v>
      </c>
      <c r="R28" s="18"/>
      <c r="S28" s="19"/>
    </row>
    <row r="29" spans="1:23" ht="34.5" customHeight="1" thickBot="1" x14ac:dyDescent="0.45">
      <c r="A29" s="52">
        <v>26</v>
      </c>
      <c r="B29" s="80"/>
      <c r="C29" s="75" t="s">
        <v>221</v>
      </c>
      <c r="D29" s="91"/>
      <c r="E29" s="13"/>
      <c r="F29" s="125" t="s">
        <v>344</v>
      </c>
      <c r="G29" s="54" t="s">
        <v>295</v>
      </c>
      <c r="H29" s="88"/>
      <c r="I29" s="88"/>
      <c r="J29" s="72">
        <v>46.377540000000003</v>
      </c>
      <c r="K29" s="69">
        <v>2179</v>
      </c>
      <c r="L29" s="30">
        <v>1</v>
      </c>
      <c r="M29" s="14">
        <v>1</v>
      </c>
      <c r="N29" s="33" t="s">
        <v>282</v>
      </c>
      <c r="O29" s="17"/>
      <c r="P29" s="17"/>
      <c r="Q29" s="25">
        <v>1</v>
      </c>
      <c r="R29" s="18"/>
      <c r="S29" s="19"/>
    </row>
    <row r="30" spans="1:23" ht="34.5" customHeight="1" thickBot="1" x14ac:dyDescent="0.45">
      <c r="A30" s="52">
        <v>27</v>
      </c>
      <c r="B30" s="80"/>
      <c r="C30" s="75"/>
      <c r="D30" s="91"/>
      <c r="E30" s="13"/>
      <c r="F30" s="125" t="s">
        <v>154</v>
      </c>
      <c r="G30" s="54" t="s">
        <v>40</v>
      </c>
      <c r="H30" s="88"/>
      <c r="I30" s="88"/>
      <c r="J30" s="72">
        <v>49.597225000000002</v>
      </c>
      <c r="K30" s="70">
        <v>1805</v>
      </c>
      <c r="L30" s="30">
        <v>1</v>
      </c>
      <c r="M30" s="14">
        <v>1</v>
      </c>
      <c r="N30" s="33" t="s">
        <v>96</v>
      </c>
      <c r="O30" s="17"/>
      <c r="P30" s="17"/>
      <c r="Q30" s="25">
        <v>1</v>
      </c>
      <c r="R30" s="18"/>
      <c r="S30" s="19"/>
    </row>
    <row r="31" spans="1:23" ht="34.5" customHeight="1" thickBot="1" x14ac:dyDescent="0.45">
      <c r="A31" s="52">
        <v>28</v>
      </c>
      <c r="B31" s="80"/>
      <c r="C31" s="75"/>
      <c r="D31" s="91"/>
      <c r="E31" s="13"/>
      <c r="F31" s="125" t="s">
        <v>154</v>
      </c>
      <c r="G31" s="54" t="s">
        <v>41</v>
      </c>
      <c r="H31" s="88"/>
      <c r="I31" s="88"/>
      <c r="J31" s="72">
        <v>50.677022219999998</v>
      </c>
      <c r="K31" s="69">
        <v>1687</v>
      </c>
      <c r="L31" s="30">
        <v>1</v>
      </c>
      <c r="M31" s="14">
        <v>1</v>
      </c>
      <c r="N31" s="33" t="s">
        <v>96</v>
      </c>
      <c r="O31" s="17"/>
      <c r="P31" s="17"/>
      <c r="Q31" s="25">
        <v>1</v>
      </c>
      <c r="R31" s="18"/>
      <c r="S31" s="19"/>
    </row>
    <row r="32" spans="1:23" ht="34.5" customHeight="1" thickBot="1" x14ac:dyDescent="0.45">
      <c r="A32" s="52">
        <v>29</v>
      </c>
      <c r="B32" s="80"/>
      <c r="C32" s="75"/>
      <c r="D32" s="91"/>
      <c r="E32" s="13"/>
      <c r="F32" s="125" t="s">
        <v>154</v>
      </c>
      <c r="G32" s="54" t="s">
        <v>285</v>
      </c>
      <c r="H32" s="88"/>
      <c r="I32" s="88"/>
      <c r="J32" s="72">
        <v>50.5523338</v>
      </c>
      <c r="K32" s="69">
        <v>1139</v>
      </c>
      <c r="L32" s="30">
        <v>1</v>
      </c>
      <c r="M32" s="14">
        <v>1</v>
      </c>
      <c r="N32" s="33" t="s">
        <v>282</v>
      </c>
      <c r="O32" s="17"/>
      <c r="P32" s="17"/>
      <c r="Q32" s="25">
        <v>1</v>
      </c>
      <c r="R32" s="18"/>
      <c r="S32" s="19"/>
    </row>
    <row r="33" spans="1:22" ht="34.5" customHeight="1" thickBot="1" x14ac:dyDescent="0.45">
      <c r="A33" s="52">
        <v>30</v>
      </c>
      <c r="B33" s="80"/>
      <c r="C33" s="75"/>
      <c r="D33" s="91"/>
      <c r="E33" s="13"/>
      <c r="F33" s="125" t="s">
        <v>154</v>
      </c>
      <c r="G33" s="54" t="s">
        <v>286</v>
      </c>
      <c r="H33" s="88"/>
      <c r="I33" s="88"/>
      <c r="J33" s="72">
        <v>50.112744444444402</v>
      </c>
      <c r="K33" s="69">
        <v>1566</v>
      </c>
      <c r="L33" s="30">
        <v>1</v>
      </c>
      <c r="M33" s="14">
        <v>1</v>
      </c>
      <c r="N33" s="33" t="s">
        <v>282</v>
      </c>
      <c r="O33" s="17"/>
      <c r="P33" s="17"/>
      <c r="Q33" s="25">
        <v>1</v>
      </c>
      <c r="R33" s="18"/>
      <c r="S33" s="19"/>
    </row>
    <row r="34" spans="1:22" ht="34.5" customHeight="1" thickBot="1" x14ac:dyDescent="0.45">
      <c r="A34" s="52">
        <v>31</v>
      </c>
      <c r="B34" s="80"/>
      <c r="C34" s="75" t="s">
        <v>221</v>
      </c>
      <c r="D34" s="91"/>
      <c r="E34" s="13"/>
      <c r="F34" s="125" t="s">
        <v>154</v>
      </c>
      <c r="G34" s="54" t="s">
        <v>287</v>
      </c>
      <c r="H34" s="88"/>
      <c r="I34" s="88"/>
      <c r="J34" s="72">
        <v>50.439346299999997</v>
      </c>
      <c r="K34" s="69">
        <v>1668</v>
      </c>
      <c r="L34" s="30">
        <v>1</v>
      </c>
      <c r="M34" s="14">
        <v>1</v>
      </c>
      <c r="N34" s="33" t="s">
        <v>282</v>
      </c>
      <c r="O34" s="17"/>
      <c r="P34" s="17"/>
      <c r="Q34" s="25">
        <v>1</v>
      </c>
      <c r="R34" s="18"/>
      <c r="S34" s="19"/>
    </row>
    <row r="35" spans="1:22" ht="34.5" customHeight="1" thickBot="1" x14ac:dyDescent="0.45">
      <c r="A35" s="52">
        <v>32</v>
      </c>
      <c r="B35" s="80"/>
      <c r="C35" s="75" t="s">
        <v>221</v>
      </c>
      <c r="D35" s="91"/>
      <c r="E35" s="13"/>
      <c r="F35" s="125" t="s">
        <v>154</v>
      </c>
      <c r="G35" s="54" t="s">
        <v>288</v>
      </c>
      <c r="H35" s="88"/>
      <c r="I35" s="88"/>
      <c r="J35" s="72">
        <v>49.638805400000003</v>
      </c>
      <c r="K35" s="69">
        <v>1291</v>
      </c>
      <c r="L35" s="30">
        <v>1</v>
      </c>
      <c r="M35" s="14">
        <v>1</v>
      </c>
      <c r="N35" s="33" t="s">
        <v>282</v>
      </c>
      <c r="O35" s="17"/>
      <c r="P35" s="17"/>
      <c r="Q35" s="25">
        <v>1</v>
      </c>
      <c r="R35" s="18"/>
      <c r="S35" s="19"/>
    </row>
    <row r="36" spans="1:22" ht="34.5" customHeight="1" thickBot="1" x14ac:dyDescent="0.45">
      <c r="A36" s="52">
        <v>33</v>
      </c>
      <c r="B36" s="80"/>
      <c r="C36" s="75"/>
      <c r="D36" s="91"/>
      <c r="E36" s="13"/>
      <c r="F36" s="125" t="s">
        <v>154</v>
      </c>
      <c r="G36" s="54" t="s">
        <v>289</v>
      </c>
      <c r="H36" s="88"/>
      <c r="I36" s="88"/>
      <c r="J36" s="72">
        <v>49.907575000000001</v>
      </c>
      <c r="K36" s="69">
        <v>1881</v>
      </c>
      <c r="L36" s="30">
        <v>1</v>
      </c>
      <c r="M36" s="14">
        <v>1</v>
      </c>
      <c r="N36" s="33" t="s">
        <v>282</v>
      </c>
      <c r="O36" s="17"/>
      <c r="P36" s="17"/>
      <c r="Q36" s="25">
        <v>1</v>
      </c>
      <c r="R36" s="18"/>
      <c r="S36" s="19"/>
    </row>
    <row r="37" spans="1:22" ht="34.5" customHeight="1" thickBot="1" x14ac:dyDescent="0.45">
      <c r="A37" s="52">
        <v>34</v>
      </c>
      <c r="B37" s="80"/>
      <c r="C37" s="75"/>
      <c r="D37" s="91"/>
      <c r="E37" s="13"/>
      <c r="F37" s="125" t="s">
        <v>154</v>
      </c>
      <c r="G37" s="54" t="s">
        <v>290</v>
      </c>
      <c r="H37" s="88"/>
      <c r="I37" s="88"/>
      <c r="J37" s="72">
        <v>49.522293099999999</v>
      </c>
      <c r="K37" s="69">
        <v>1746</v>
      </c>
      <c r="L37" s="30">
        <v>1</v>
      </c>
      <c r="M37" s="14">
        <v>1</v>
      </c>
      <c r="N37" s="33" t="s">
        <v>282</v>
      </c>
      <c r="O37" s="17"/>
      <c r="P37" s="17"/>
      <c r="Q37" s="25">
        <v>1</v>
      </c>
      <c r="R37" s="18"/>
      <c r="S37" s="19"/>
    </row>
    <row r="38" spans="1:22" ht="34.5" customHeight="1" thickBot="1" x14ac:dyDescent="0.45">
      <c r="A38" s="52">
        <v>35</v>
      </c>
      <c r="B38" s="80"/>
      <c r="C38" s="75"/>
      <c r="D38" s="91"/>
      <c r="E38" s="13"/>
      <c r="F38" s="125" t="s">
        <v>154</v>
      </c>
      <c r="G38" s="54" t="s">
        <v>291</v>
      </c>
      <c r="H38" s="88"/>
      <c r="I38" s="88"/>
      <c r="J38" s="72">
        <v>50.179012299999997</v>
      </c>
      <c r="K38" s="69">
        <v>1632</v>
      </c>
      <c r="L38" s="30">
        <v>1</v>
      </c>
      <c r="M38" s="14">
        <v>1</v>
      </c>
      <c r="N38" s="33" t="s">
        <v>282</v>
      </c>
      <c r="O38" s="17"/>
      <c r="P38" s="17"/>
      <c r="Q38" s="25">
        <v>1</v>
      </c>
      <c r="R38" s="18"/>
      <c r="S38" s="19"/>
    </row>
    <row r="39" spans="1:22" ht="34.5" customHeight="1" thickBot="1" x14ac:dyDescent="0.45">
      <c r="A39" s="52">
        <v>36</v>
      </c>
      <c r="B39" s="80"/>
      <c r="C39" s="75"/>
      <c r="D39" s="91"/>
      <c r="E39" s="13"/>
      <c r="F39" s="125" t="s">
        <v>154</v>
      </c>
      <c r="G39" s="54" t="s">
        <v>292</v>
      </c>
      <c r="H39" s="88"/>
      <c r="I39" s="88"/>
      <c r="J39" s="72">
        <v>51.5064361111111</v>
      </c>
      <c r="K39" s="69">
        <v>1730</v>
      </c>
      <c r="L39" s="30">
        <v>1</v>
      </c>
      <c r="M39" s="14">
        <v>1</v>
      </c>
      <c r="N39" s="33" t="s">
        <v>282</v>
      </c>
      <c r="O39" s="17"/>
      <c r="P39" s="17"/>
      <c r="Q39" s="25">
        <v>1</v>
      </c>
      <c r="R39" s="18"/>
      <c r="S39" s="19"/>
    </row>
    <row r="40" spans="1:22" ht="34.5" customHeight="1" thickBot="1" x14ac:dyDescent="0.45">
      <c r="A40" s="52">
        <v>37</v>
      </c>
      <c r="B40" s="80"/>
      <c r="C40" s="75"/>
      <c r="D40" s="91"/>
      <c r="E40" s="13"/>
      <c r="F40" s="125" t="s">
        <v>154</v>
      </c>
      <c r="G40" s="54" t="s">
        <v>293</v>
      </c>
      <c r="H40" s="88"/>
      <c r="I40" s="88"/>
      <c r="J40" s="72">
        <v>50.120224</v>
      </c>
      <c r="K40" s="69">
        <v>1151</v>
      </c>
      <c r="L40" s="30">
        <v>1</v>
      </c>
      <c r="M40" s="14">
        <v>1</v>
      </c>
      <c r="N40" s="33" t="s">
        <v>282</v>
      </c>
      <c r="O40" s="17"/>
      <c r="P40" s="17"/>
      <c r="Q40" s="25">
        <v>1</v>
      </c>
      <c r="R40" s="18"/>
      <c r="S40" s="19"/>
    </row>
    <row r="41" spans="1:22" ht="34.5" customHeight="1" thickBot="1" x14ac:dyDescent="0.45">
      <c r="A41" s="52">
        <v>38</v>
      </c>
      <c r="B41" s="80"/>
      <c r="C41" s="75"/>
      <c r="D41" s="91"/>
      <c r="E41" s="13"/>
      <c r="F41" s="125" t="s">
        <v>154</v>
      </c>
      <c r="G41" s="54" t="s">
        <v>294</v>
      </c>
      <c r="H41" s="88"/>
      <c r="I41" s="88"/>
      <c r="J41" s="72">
        <v>49.121166199999998</v>
      </c>
      <c r="K41" s="69">
        <v>1384</v>
      </c>
      <c r="L41" s="30">
        <v>1</v>
      </c>
      <c r="M41" s="14">
        <v>1</v>
      </c>
      <c r="N41" s="33" t="s">
        <v>282</v>
      </c>
      <c r="O41" s="17"/>
      <c r="P41" s="17"/>
      <c r="Q41" s="25">
        <v>1</v>
      </c>
      <c r="R41" s="18"/>
      <c r="S41" s="19"/>
    </row>
    <row r="42" spans="1:22" ht="34.5" customHeight="1" thickBot="1" x14ac:dyDescent="0.45">
      <c r="A42" s="52">
        <v>39</v>
      </c>
      <c r="B42" s="80"/>
      <c r="C42" s="75"/>
      <c r="D42" s="91"/>
      <c r="E42" s="13"/>
      <c r="F42" s="125" t="s">
        <v>155</v>
      </c>
      <c r="G42" s="54" t="s">
        <v>188</v>
      </c>
      <c r="H42" s="88"/>
      <c r="I42" s="88"/>
      <c r="J42" s="72">
        <v>50.069886109999999</v>
      </c>
      <c r="K42" s="70">
        <v>632</v>
      </c>
      <c r="L42" s="30">
        <v>1</v>
      </c>
      <c r="M42" s="14">
        <v>1</v>
      </c>
      <c r="N42" s="33" t="s">
        <v>96</v>
      </c>
      <c r="O42" s="17"/>
      <c r="P42" s="17"/>
      <c r="Q42" s="25">
        <v>1</v>
      </c>
      <c r="R42" s="18"/>
      <c r="S42" s="19"/>
    </row>
    <row r="43" spans="1:22" ht="34.5" customHeight="1" thickBot="1" x14ac:dyDescent="0.45">
      <c r="A43" s="52">
        <v>40</v>
      </c>
      <c r="B43" s="80"/>
      <c r="C43" s="75"/>
      <c r="D43" s="91"/>
      <c r="E43" s="13"/>
      <c r="F43" s="125" t="s">
        <v>349</v>
      </c>
      <c r="G43" s="54" t="s">
        <v>350</v>
      </c>
      <c r="H43" s="88"/>
      <c r="I43" s="88"/>
      <c r="J43" s="72">
        <v>50.324016090000001</v>
      </c>
      <c r="K43" s="70">
        <v>747</v>
      </c>
      <c r="L43" s="30">
        <v>1</v>
      </c>
      <c r="M43" s="14">
        <v>1</v>
      </c>
      <c r="N43" s="33" t="s">
        <v>282</v>
      </c>
      <c r="O43" s="17"/>
      <c r="P43" s="17"/>
      <c r="Q43" s="25">
        <v>1</v>
      </c>
      <c r="R43" s="18"/>
      <c r="S43" s="19"/>
    </row>
    <row r="44" spans="1:22" ht="34.5" customHeight="1" thickBot="1" x14ac:dyDescent="0.45">
      <c r="A44" s="52">
        <v>41</v>
      </c>
      <c r="B44" s="80"/>
      <c r="C44" s="75"/>
      <c r="D44" s="91"/>
      <c r="E44" s="13"/>
      <c r="F44" s="125" t="s">
        <v>349</v>
      </c>
      <c r="G44" s="54" t="s">
        <v>355</v>
      </c>
      <c r="H44" s="88"/>
      <c r="I44" s="88"/>
      <c r="J44" s="72">
        <v>48.83522</v>
      </c>
      <c r="K44" s="70">
        <v>818</v>
      </c>
      <c r="L44" s="30">
        <v>1</v>
      </c>
      <c r="M44" s="14">
        <v>1</v>
      </c>
      <c r="N44" s="33" t="s">
        <v>282</v>
      </c>
      <c r="O44" s="17"/>
      <c r="P44" s="17"/>
      <c r="Q44" s="25">
        <v>1</v>
      </c>
      <c r="R44" s="18"/>
      <c r="S44" s="19"/>
    </row>
    <row r="45" spans="1:22" ht="34.5" customHeight="1" thickBot="1" x14ac:dyDescent="0.45">
      <c r="A45" s="52">
        <v>42</v>
      </c>
      <c r="B45" s="80"/>
      <c r="C45" s="75"/>
      <c r="D45" s="91"/>
      <c r="E45" s="13"/>
      <c r="F45" s="125" t="s">
        <v>152</v>
      </c>
      <c r="G45" s="54" t="s">
        <v>189</v>
      </c>
      <c r="H45" s="88"/>
      <c r="I45" s="88"/>
      <c r="J45" s="72">
        <v>50.61058611</v>
      </c>
      <c r="K45" s="69">
        <v>859</v>
      </c>
      <c r="L45" s="30">
        <v>1</v>
      </c>
      <c r="M45" s="14">
        <v>1</v>
      </c>
      <c r="N45" s="33" t="s">
        <v>96</v>
      </c>
      <c r="O45" s="17"/>
      <c r="P45" s="17"/>
      <c r="Q45" s="25">
        <v>1</v>
      </c>
      <c r="R45" s="18"/>
      <c r="S45" s="19"/>
    </row>
    <row r="46" spans="1:22" ht="34.5" customHeight="1" thickBot="1" x14ac:dyDescent="0.45">
      <c r="A46" s="52">
        <v>43</v>
      </c>
      <c r="B46" s="80"/>
      <c r="C46" s="75"/>
      <c r="D46" s="91"/>
      <c r="E46" s="13"/>
      <c r="F46" s="125" t="s">
        <v>152</v>
      </c>
      <c r="G46" s="54" t="s">
        <v>42</v>
      </c>
      <c r="H46" s="88"/>
      <c r="I46" s="88"/>
      <c r="J46" s="72">
        <v>49.72889</v>
      </c>
      <c r="K46" s="70">
        <v>1393</v>
      </c>
      <c r="L46" s="30">
        <v>1</v>
      </c>
      <c r="M46" s="14">
        <v>1</v>
      </c>
      <c r="N46" s="33" t="s">
        <v>96</v>
      </c>
      <c r="O46" s="17"/>
      <c r="P46" s="17"/>
      <c r="Q46" s="25">
        <v>1</v>
      </c>
      <c r="R46" s="18"/>
      <c r="S46" s="19"/>
      <c r="V46" s="6"/>
    </row>
    <row r="47" spans="1:22" ht="34.5" customHeight="1" thickBot="1" x14ac:dyDescent="0.45">
      <c r="A47" s="52">
        <v>44</v>
      </c>
      <c r="B47" s="80"/>
      <c r="C47" s="75" t="s">
        <v>221</v>
      </c>
      <c r="D47" s="91"/>
      <c r="E47" s="13"/>
      <c r="F47" s="125" t="s">
        <v>152</v>
      </c>
      <c r="G47" s="54" t="s">
        <v>43</v>
      </c>
      <c r="H47" s="88"/>
      <c r="I47" s="88"/>
      <c r="J47" s="72">
        <v>49.104990000000001</v>
      </c>
      <c r="K47" s="69">
        <v>1593</v>
      </c>
      <c r="L47" s="30">
        <v>1</v>
      </c>
      <c r="M47" s="14">
        <v>1</v>
      </c>
      <c r="N47" s="33" t="s">
        <v>96</v>
      </c>
      <c r="O47" s="17"/>
      <c r="P47" s="17"/>
      <c r="Q47" s="25">
        <v>1</v>
      </c>
      <c r="R47" s="18"/>
      <c r="S47" s="19"/>
    </row>
    <row r="48" spans="1:22" ht="34.5" customHeight="1" thickBot="1" x14ac:dyDescent="0.45">
      <c r="A48" s="52">
        <v>45</v>
      </c>
      <c r="B48" s="80"/>
      <c r="C48" s="75"/>
      <c r="D48" s="91"/>
      <c r="E48" s="13"/>
      <c r="F48" s="125" t="s">
        <v>152</v>
      </c>
      <c r="G48" s="54" t="s">
        <v>44</v>
      </c>
      <c r="H48" s="88"/>
      <c r="I48" s="88"/>
      <c r="J48" s="72">
        <v>50.339719440000003</v>
      </c>
      <c r="K48" s="69">
        <v>1142</v>
      </c>
      <c r="L48" s="30">
        <v>1</v>
      </c>
      <c r="M48" s="14">
        <v>1</v>
      </c>
      <c r="N48" s="33" t="s">
        <v>96</v>
      </c>
      <c r="O48" s="17"/>
      <c r="P48" s="17"/>
      <c r="Q48" s="25">
        <v>1</v>
      </c>
      <c r="R48" s="18"/>
      <c r="S48" s="19"/>
    </row>
    <row r="49" spans="1:22" ht="34.5" customHeight="1" thickBot="1" x14ac:dyDescent="0.45">
      <c r="A49" s="52">
        <v>46</v>
      </c>
      <c r="B49" s="80"/>
      <c r="C49" s="75"/>
      <c r="D49" s="91"/>
      <c r="E49" s="13"/>
      <c r="F49" s="125" t="s">
        <v>152</v>
      </c>
      <c r="G49" s="54" t="s">
        <v>45</v>
      </c>
      <c r="H49" s="88"/>
      <c r="I49" s="88"/>
      <c r="J49" s="72">
        <v>50.09788056</v>
      </c>
      <c r="K49" s="69">
        <v>1212</v>
      </c>
      <c r="L49" s="30">
        <v>1</v>
      </c>
      <c r="M49" s="14">
        <v>1</v>
      </c>
      <c r="N49" s="33" t="s">
        <v>96</v>
      </c>
      <c r="O49" s="17"/>
      <c r="P49" s="17"/>
      <c r="Q49" s="25">
        <v>1</v>
      </c>
      <c r="R49" s="18"/>
      <c r="S49" s="19"/>
    </row>
    <row r="50" spans="1:22" ht="34.5" customHeight="1" thickBot="1" x14ac:dyDescent="0.45">
      <c r="A50" s="52">
        <v>47</v>
      </c>
      <c r="B50" s="80"/>
      <c r="C50" s="75" t="s">
        <v>221</v>
      </c>
      <c r="D50" s="91"/>
      <c r="E50" s="13"/>
      <c r="F50" s="125" t="s">
        <v>152</v>
      </c>
      <c r="G50" s="54" t="s">
        <v>46</v>
      </c>
      <c r="H50" s="88"/>
      <c r="I50" s="88"/>
      <c r="J50" s="72">
        <v>49.658639999999998</v>
      </c>
      <c r="K50" s="70">
        <v>1233</v>
      </c>
      <c r="L50" s="30">
        <v>1</v>
      </c>
      <c r="M50" s="14">
        <v>1</v>
      </c>
      <c r="N50" s="33" t="s">
        <v>96</v>
      </c>
      <c r="O50" s="17"/>
      <c r="P50" s="17"/>
      <c r="Q50" s="25">
        <v>1</v>
      </c>
      <c r="R50" s="18"/>
      <c r="S50" s="19"/>
    </row>
    <row r="51" spans="1:22" ht="34.5" customHeight="1" thickBot="1" x14ac:dyDescent="0.45">
      <c r="A51" s="52">
        <v>48</v>
      </c>
      <c r="B51" s="80"/>
      <c r="C51" s="75"/>
      <c r="D51" s="91"/>
      <c r="E51" s="13"/>
      <c r="F51" s="125" t="s">
        <v>152</v>
      </c>
      <c r="G51" s="54" t="s">
        <v>47</v>
      </c>
      <c r="H51" s="88"/>
      <c r="I51" s="88"/>
      <c r="J51" s="72">
        <v>48.821666700000002</v>
      </c>
      <c r="K51" s="70">
        <v>1045</v>
      </c>
      <c r="L51" s="30">
        <v>1</v>
      </c>
      <c r="M51" s="14">
        <v>1</v>
      </c>
      <c r="N51" s="33" t="s">
        <v>96</v>
      </c>
      <c r="O51" s="17"/>
      <c r="P51" s="17"/>
      <c r="Q51" s="25">
        <v>1</v>
      </c>
      <c r="R51" s="18"/>
      <c r="S51" s="19"/>
    </row>
    <row r="52" spans="1:22" ht="34.5" customHeight="1" thickBot="1" x14ac:dyDescent="0.45">
      <c r="A52" s="52">
        <v>49</v>
      </c>
      <c r="B52" s="80"/>
      <c r="C52" s="75"/>
      <c r="D52" s="91"/>
      <c r="E52" s="13"/>
      <c r="F52" s="125" t="s">
        <v>152</v>
      </c>
      <c r="G52" s="54" t="s">
        <v>351</v>
      </c>
      <c r="H52" s="88"/>
      <c r="I52" s="88"/>
      <c r="J52" s="72">
        <v>49.313068770000001</v>
      </c>
      <c r="K52" s="70">
        <v>1791</v>
      </c>
      <c r="L52" s="30">
        <v>1</v>
      </c>
      <c r="M52" s="14">
        <v>1</v>
      </c>
      <c r="N52" s="33" t="s">
        <v>282</v>
      </c>
      <c r="O52" s="17"/>
      <c r="P52" s="17"/>
      <c r="Q52" s="25">
        <v>1</v>
      </c>
      <c r="R52" s="18"/>
      <c r="S52" s="19"/>
    </row>
    <row r="53" spans="1:22" ht="34.5" customHeight="1" thickBot="1" x14ac:dyDescent="0.45">
      <c r="A53" s="52">
        <v>50</v>
      </c>
      <c r="B53" s="80"/>
      <c r="C53" s="75"/>
      <c r="D53" s="91"/>
      <c r="E53" s="13"/>
      <c r="F53" s="125" t="s">
        <v>152</v>
      </c>
      <c r="G53" s="54" t="s">
        <v>354</v>
      </c>
      <c r="H53" s="88"/>
      <c r="I53" s="88"/>
      <c r="J53" s="72">
        <v>49.2708321</v>
      </c>
      <c r="K53" s="70">
        <v>1868</v>
      </c>
      <c r="L53" s="30">
        <v>1</v>
      </c>
      <c r="M53" s="14">
        <v>1</v>
      </c>
      <c r="N53" s="33" t="s">
        <v>282</v>
      </c>
      <c r="O53" s="17"/>
      <c r="P53" s="17"/>
      <c r="Q53" s="25">
        <v>1</v>
      </c>
      <c r="R53" s="18"/>
      <c r="S53" s="19"/>
    </row>
    <row r="54" spans="1:22" ht="34.5" customHeight="1" thickBot="1" x14ac:dyDescent="0.45">
      <c r="A54" s="52">
        <v>51</v>
      </c>
      <c r="B54" s="80"/>
      <c r="C54" s="75"/>
      <c r="D54" s="91"/>
      <c r="E54" s="13"/>
      <c r="F54" s="125" t="s">
        <v>153</v>
      </c>
      <c r="G54" s="54" t="s">
        <v>48</v>
      </c>
      <c r="H54" s="88"/>
      <c r="I54" s="88"/>
      <c r="J54" s="72">
        <v>49.373166670000003</v>
      </c>
      <c r="K54" s="70">
        <v>1858</v>
      </c>
      <c r="L54" s="30">
        <v>1</v>
      </c>
      <c r="M54" s="14">
        <v>1</v>
      </c>
      <c r="N54" s="33" t="s">
        <v>96</v>
      </c>
      <c r="O54" s="17"/>
      <c r="P54" s="17"/>
      <c r="Q54" s="25">
        <v>1</v>
      </c>
      <c r="R54" s="18"/>
      <c r="S54" s="19"/>
    </row>
    <row r="55" spans="1:22" ht="34.5" customHeight="1" thickBot="1" x14ac:dyDescent="0.45">
      <c r="A55" s="52">
        <v>52</v>
      </c>
      <c r="B55" s="80"/>
      <c r="C55" s="75"/>
      <c r="D55" s="91"/>
      <c r="E55" s="13"/>
      <c r="F55" s="125" t="s">
        <v>153</v>
      </c>
      <c r="G55" s="54" t="s">
        <v>49</v>
      </c>
      <c r="H55" s="88"/>
      <c r="I55" s="88"/>
      <c r="J55" s="72">
        <v>48.721816670000003</v>
      </c>
      <c r="K55" s="69">
        <v>1656</v>
      </c>
      <c r="L55" s="30">
        <v>1</v>
      </c>
      <c r="M55" s="14">
        <v>1</v>
      </c>
      <c r="N55" s="33" t="s">
        <v>96</v>
      </c>
      <c r="O55" s="17"/>
      <c r="P55" s="17"/>
      <c r="Q55" s="25">
        <v>1</v>
      </c>
      <c r="R55" s="18"/>
      <c r="S55" s="19"/>
    </row>
    <row r="56" spans="1:22" ht="34.5" customHeight="1" thickBot="1" x14ac:dyDescent="0.45">
      <c r="A56" s="52">
        <v>53</v>
      </c>
      <c r="B56" s="80"/>
      <c r="C56" s="75"/>
      <c r="D56" s="91"/>
      <c r="E56" s="13"/>
      <c r="F56" s="125" t="s">
        <v>153</v>
      </c>
      <c r="G56" s="54" t="s">
        <v>190</v>
      </c>
      <c r="H56" s="88"/>
      <c r="I56" s="88"/>
      <c r="J56" s="72">
        <v>48.870530000000002</v>
      </c>
      <c r="K56" s="70">
        <v>1851</v>
      </c>
      <c r="L56" s="30">
        <v>1</v>
      </c>
      <c r="M56" s="14">
        <v>1</v>
      </c>
      <c r="N56" s="33" t="s">
        <v>96</v>
      </c>
      <c r="O56" s="17"/>
      <c r="P56" s="17"/>
      <c r="Q56" s="25">
        <v>1</v>
      </c>
      <c r="R56" s="18"/>
      <c r="S56" s="19"/>
      <c r="V56" s="6"/>
    </row>
    <row r="57" spans="1:22" ht="34.5" customHeight="1" thickBot="1" x14ac:dyDescent="0.45">
      <c r="A57" s="52">
        <v>54</v>
      </c>
      <c r="B57" s="80"/>
      <c r="C57" s="75"/>
      <c r="D57" s="91"/>
      <c r="E57" s="13"/>
      <c r="F57" s="125" t="s">
        <v>153</v>
      </c>
      <c r="G57" s="54" t="s">
        <v>50</v>
      </c>
      <c r="H57" s="88"/>
      <c r="I57" s="88"/>
      <c r="J57" s="72">
        <v>48.589822220000002</v>
      </c>
      <c r="K57" s="70">
        <v>1569</v>
      </c>
      <c r="L57" s="30">
        <v>1</v>
      </c>
      <c r="M57" s="14">
        <v>1</v>
      </c>
      <c r="N57" s="33" t="s">
        <v>96</v>
      </c>
      <c r="O57" s="17"/>
      <c r="P57" s="17"/>
      <c r="Q57" s="25">
        <v>1</v>
      </c>
      <c r="R57" s="18"/>
      <c r="S57" s="19"/>
    </row>
    <row r="58" spans="1:22" ht="34.5" customHeight="1" thickBot="1" x14ac:dyDescent="0.45">
      <c r="A58" s="52">
        <v>55</v>
      </c>
      <c r="B58" s="80"/>
      <c r="C58" s="75"/>
      <c r="D58" s="91"/>
      <c r="E58" s="13"/>
      <c r="F58" s="125" t="s">
        <v>153</v>
      </c>
      <c r="G58" s="54" t="s">
        <v>51</v>
      </c>
      <c r="H58" s="88"/>
      <c r="I58" s="88"/>
      <c r="J58" s="72">
        <v>48.982269440000003</v>
      </c>
      <c r="K58" s="70">
        <v>1776</v>
      </c>
      <c r="L58" s="30">
        <v>1</v>
      </c>
      <c r="M58" s="14">
        <v>1</v>
      </c>
      <c r="N58" s="33" t="s">
        <v>96</v>
      </c>
      <c r="O58" s="17"/>
      <c r="P58" s="17"/>
      <c r="Q58" s="25">
        <v>1</v>
      </c>
      <c r="R58" s="18"/>
      <c r="S58" s="19"/>
    </row>
    <row r="59" spans="1:22" ht="34.5" customHeight="1" thickBot="1" x14ac:dyDescent="0.45">
      <c r="A59" s="52">
        <v>56</v>
      </c>
      <c r="B59" s="80"/>
      <c r="C59" s="75"/>
      <c r="D59" s="91"/>
      <c r="E59" s="13"/>
      <c r="F59" s="125" t="s">
        <v>153</v>
      </c>
      <c r="G59" s="54" t="s">
        <v>52</v>
      </c>
      <c r="H59" s="88"/>
      <c r="I59" s="88"/>
      <c r="J59" s="72">
        <v>48.511452779999999</v>
      </c>
      <c r="K59" s="70">
        <v>1271</v>
      </c>
      <c r="L59" s="30">
        <v>1</v>
      </c>
      <c r="M59" s="14">
        <v>1</v>
      </c>
      <c r="N59" s="33" t="s">
        <v>96</v>
      </c>
      <c r="O59" s="17"/>
      <c r="P59" s="17"/>
      <c r="Q59" s="25">
        <v>1</v>
      </c>
      <c r="R59" s="18"/>
      <c r="S59" s="19"/>
    </row>
    <row r="60" spans="1:22" ht="34.5" customHeight="1" thickBot="1" x14ac:dyDescent="0.45">
      <c r="A60" s="52">
        <v>57</v>
      </c>
      <c r="B60" s="80"/>
      <c r="C60" s="75"/>
      <c r="D60" s="91"/>
      <c r="E60" s="13"/>
      <c r="F60" s="125" t="s">
        <v>153</v>
      </c>
      <c r="G60" s="54" t="s">
        <v>53</v>
      </c>
      <c r="H60" s="88"/>
      <c r="I60" s="88"/>
      <c r="J60" s="72">
        <v>48.116247219999998</v>
      </c>
      <c r="K60" s="70">
        <v>2113</v>
      </c>
      <c r="L60" s="30">
        <v>1</v>
      </c>
      <c r="M60" s="14">
        <v>1</v>
      </c>
      <c r="N60" s="33" t="s">
        <v>96</v>
      </c>
      <c r="O60" s="17"/>
      <c r="P60" s="17"/>
      <c r="Q60" s="25">
        <v>1</v>
      </c>
      <c r="R60" s="18"/>
      <c r="S60" s="19"/>
    </row>
    <row r="61" spans="1:22" ht="34.5" customHeight="1" thickBot="1" x14ac:dyDescent="0.45">
      <c r="A61" s="52">
        <v>58</v>
      </c>
      <c r="B61" s="80"/>
      <c r="C61" s="75"/>
      <c r="D61" s="91"/>
      <c r="E61" s="13"/>
      <c r="F61" s="125" t="s">
        <v>153</v>
      </c>
      <c r="G61" s="54" t="s">
        <v>54</v>
      </c>
      <c r="H61" s="88"/>
      <c r="I61" s="88"/>
      <c r="J61" s="72">
        <v>48.219799999999999</v>
      </c>
      <c r="K61" s="69">
        <v>1963</v>
      </c>
      <c r="L61" s="30">
        <v>1</v>
      </c>
      <c r="M61" s="14">
        <v>1</v>
      </c>
      <c r="N61" s="33" t="s">
        <v>96</v>
      </c>
      <c r="O61" s="17"/>
      <c r="P61" s="17"/>
      <c r="Q61" s="25">
        <v>1</v>
      </c>
      <c r="R61" s="18"/>
      <c r="S61" s="19"/>
    </row>
    <row r="62" spans="1:22" ht="34.5" customHeight="1" thickBot="1" x14ac:dyDescent="0.45">
      <c r="A62" s="52">
        <v>59</v>
      </c>
      <c r="B62" s="80"/>
      <c r="C62" s="75"/>
      <c r="D62" s="91"/>
      <c r="E62" s="13"/>
      <c r="F62" s="125" t="s">
        <v>153</v>
      </c>
      <c r="G62" s="54" t="s">
        <v>55</v>
      </c>
      <c r="H62" s="88"/>
      <c r="I62" s="88"/>
      <c r="J62" s="72">
        <v>48.325195299999997</v>
      </c>
      <c r="K62" s="70">
        <v>1777</v>
      </c>
      <c r="L62" s="30">
        <v>1</v>
      </c>
      <c r="M62" s="14">
        <v>1</v>
      </c>
      <c r="N62" s="33" t="s">
        <v>96</v>
      </c>
      <c r="O62" s="17"/>
      <c r="P62" s="17"/>
      <c r="Q62" s="25">
        <v>1</v>
      </c>
      <c r="R62" s="18"/>
      <c r="S62" s="19"/>
    </row>
    <row r="63" spans="1:22" ht="34.5" customHeight="1" thickBot="1" x14ac:dyDescent="0.45">
      <c r="A63" s="52">
        <v>60</v>
      </c>
      <c r="B63" s="80"/>
      <c r="C63" s="75"/>
      <c r="D63" s="91"/>
      <c r="E63" s="13"/>
      <c r="F63" s="125" t="s">
        <v>279</v>
      </c>
      <c r="G63" s="54" t="s">
        <v>280</v>
      </c>
      <c r="H63" s="88"/>
      <c r="I63" s="88"/>
      <c r="J63" s="72">
        <v>48.268963888888798</v>
      </c>
      <c r="K63" s="70">
        <v>2233</v>
      </c>
      <c r="L63" s="30">
        <v>1</v>
      </c>
      <c r="M63" s="14">
        <v>1</v>
      </c>
      <c r="N63" s="33" t="s">
        <v>282</v>
      </c>
      <c r="O63" s="17"/>
      <c r="P63" s="17"/>
      <c r="Q63" s="25">
        <v>1</v>
      </c>
      <c r="R63" s="18"/>
      <c r="S63" s="19"/>
    </row>
    <row r="64" spans="1:22" ht="34.5" customHeight="1" thickBot="1" x14ac:dyDescent="0.45">
      <c r="A64" s="52">
        <v>61</v>
      </c>
      <c r="B64" s="80"/>
      <c r="C64" s="75"/>
      <c r="D64" s="91"/>
      <c r="E64" s="13"/>
      <c r="F64" s="125" t="s">
        <v>279</v>
      </c>
      <c r="G64" s="54" t="s">
        <v>295</v>
      </c>
      <c r="H64" s="88"/>
      <c r="I64" s="88"/>
      <c r="J64" s="72">
        <v>48.299144699999999</v>
      </c>
      <c r="K64" s="70">
        <v>2147</v>
      </c>
      <c r="L64" s="30">
        <v>1</v>
      </c>
      <c r="M64" s="14">
        <v>1</v>
      </c>
      <c r="N64" s="33" t="s">
        <v>282</v>
      </c>
      <c r="O64" s="17"/>
      <c r="P64" s="17"/>
      <c r="Q64" s="25">
        <v>1</v>
      </c>
      <c r="R64" s="18"/>
      <c r="S64" s="19"/>
    </row>
    <row r="65" spans="1:19" ht="34.5" customHeight="1" thickBot="1" x14ac:dyDescent="0.45">
      <c r="A65" s="52">
        <v>62</v>
      </c>
      <c r="B65" s="80"/>
      <c r="C65" s="75" t="s">
        <v>221</v>
      </c>
      <c r="D65" s="91"/>
      <c r="E65" s="13"/>
      <c r="F65" s="125" t="s">
        <v>279</v>
      </c>
      <c r="G65" s="54" t="s">
        <v>284</v>
      </c>
      <c r="H65" s="88"/>
      <c r="I65" s="88"/>
      <c r="J65" s="72">
        <v>46.930160000000001</v>
      </c>
      <c r="K65" s="70">
        <v>1936</v>
      </c>
      <c r="L65" s="30">
        <v>1</v>
      </c>
      <c r="M65" s="14">
        <v>1</v>
      </c>
      <c r="N65" s="33" t="s">
        <v>282</v>
      </c>
      <c r="O65" s="17"/>
      <c r="P65" s="17"/>
      <c r="Q65" s="25">
        <v>1</v>
      </c>
      <c r="R65" s="18"/>
      <c r="S65" s="19"/>
    </row>
    <row r="66" spans="1:19" ht="34.5" customHeight="1" thickBot="1" x14ac:dyDescent="0.45">
      <c r="A66" s="52">
        <v>63</v>
      </c>
      <c r="B66" s="80"/>
      <c r="C66" s="75"/>
      <c r="D66" s="91"/>
      <c r="E66" s="13"/>
      <c r="F66" s="125" t="s">
        <v>297</v>
      </c>
      <c r="G66" s="54" t="s">
        <v>296</v>
      </c>
      <c r="H66" s="88"/>
      <c r="I66" s="88"/>
      <c r="J66" s="72">
        <v>48.045241666666598</v>
      </c>
      <c r="K66" s="70">
        <v>1933</v>
      </c>
      <c r="L66" s="30">
        <v>1</v>
      </c>
      <c r="M66" s="14">
        <v>1</v>
      </c>
      <c r="N66" s="33" t="s">
        <v>282</v>
      </c>
      <c r="O66" s="17"/>
      <c r="P66" s="17"/>
      <c r="Q66" s="25">
        <v>1</v>
      </c>
      <c r="R66" s="18"/>
      <c r="S66" s="19"/>
    </row>
    <row r="67" spans="1:19" ht="34.5" customHeight="1" thickBot="1" x14ac:dyDescent="0.45">
      <c r="A67" s="52">
        <v>64</v>
      </c>
      <c r="B67" s="80"/>
      <c r="C67" s="75"/>
      <c r="D67" s="91"/>
      <c r="E67" s="13"/>
      <c r="F67" s="125" t="s">
        <v>297</v>
      </c>
      <c r="G67" s="54" t="s">
        <v>298</v>
      </c>
      <c r="H67" s="88"/>
      <c r="I67" s="88"/>
      <c r="J67" s="72">
        <v>47.850722222222203</v>
      </c>
      <c r="K67" s="70">
        <v>2140</v>
      </c>
      <c r="L67" s="30">
        <v>1</v>
      </c>
      <c r="M67" s="14">
        <v>1</v>
      </c>
      <c r="N67" s="33" t="s">
        <v>282</v>
      </c>
      <c r="O67" s="17"/>
      <c r="P67" s="17"/>
      <c r="Q67" s="25">
        <v>1</v>
      </c>
      <c r="R67" s="18"/>
      <c r="S67" s="19"/>
    </row>
    <row r="68" spans="1:19" ht="34.5" customHeight="1" thickBot="1" x14ac:dyDescent="0.45">
      <c r="A68" s="52">
        <v>65</v>
      </c>
      <c r="B68" s="80"/>
      <c r="C68" s="75"/>
      <c r="D68" s="91"/>
      <c r="E68" s="13"/>
      <c r="F68" s="125" t="s">
        <v>297</v>
      </c>
      <c r="G68" s="54" t="s">
        <v>299</v>
      </c>
      <c r="H68" s="88"/>
      <c r="I68" s="88"/>
      <c r="J68" s="72">
        <v>48.103025000000002</v>
      </c>
      <c r="K68" s="70">
        <v>1300</v>
      </c>
      <c r="L68" s="30">
        <v>1</v>
      </c>
      <c r="M68" s="14">
        <v>1</v>
      </c>
      <c r="N68" s="33" t="s">
        <v>282</v>
      </c>
      <c r="O68" s="17"/>
      <c r="P68" s="17"/>
      <c r="Q68" s="25">
        <v>1</v>
      </c>
      <c r="R68" s="18"/>
      <c r="S68" s="19"/>
    </row>
    <row r="69" spans="1:19" ht="34.5" customHeight="1" thickBot="1" x14ac:dyDescent="0.45">
      <c r="A69" s="52">
        <v>66</v>
      </c>
      <c r="B69" s="80"/>
      <c r="C69" s="75"/>
      <c r="D69" s="91"/>
      <c r="E69" s="13"/>
      <c r="F69" s="125" t="s">
        <v>297</v>
      </c>
      <c r="G69" s="54" t="s">
        <v>301</v>
      </c>
      <c r="H69" s="88"/>
      <c r="I69" s="88"/>
      <c r="J69" s="72">
        <v>47.535888888888799</v>
      </c>
      <c r="K69" s="70">
        <v>2036</v>
      </c>
      <c r="L69" s="30">
        <v>1</v>
      </c>
      <c r="M69" s="14">
        <v>1</v>
      </c>
      <c r="N69" s="33" t="s">
        <v>282</v>
      </c>
      <c r="O69" s="17"/>
      <c r="P69" s="17"/>
      <c r="Q69" s="25">
        <v>1</v>
      </c>
      <c r="R69" s="18"/>
      <c r="S69" s="19"/>
    </row>
    <row r="70" spans="1:19" ht="34.5" customHeight="1" thickBot="1" x14ac:dyDescent="0.45">
      <c r="A70" s="52">
        <v>67</v>
      </c>
      <c r="B70" s="80"/>
      <c r="C70" s="75" t="s">
        <v>221</v>
      </c>
      <c r="D70" s="91"/>
      <c r="E70" s="13"/>
      <c r="F70" s="125" t="s">
        <v>297</v>
      </c>
      <c r="G70" s="54" t="s">
        <v>346</v>
      </c>
      <c r="H70" s="88"/>
      <c r="I70" s="88"/>
      <c r="J70" s="72">
        <v>48.153490220000002</v>
      </c>
      <c r="K70" s="70">
        <v>2065</v>
      </c>
      <c r="L70" s="30">
        <v>1</v>
      </c>
      <c r="M70" s="14">
        <v>1</v>
      </c>
      <c r="N70" s="33" t="s">
        <v>282</v>
      </c>
      <c r="O70" s="17"/>
      <c r="P70" s="17"/>
      <c r="Q70" s="25">
        <v>1</v>
      </c>
      <c r="R70" s="18"/>
      <c r="S70" s="19"/>
    </row>
    <row r="71" spans="1:19" ht="34.5" customHeight="1" thickBot="1" x14ac:dyDescent="0.45">
      <c r="A71" s="52">
        <v>68</v>
      </c>
      <c r="B71" s="80"/>
      <c r="C71" s="75"/>
      <c r="D71" s="91"/>
      <c r="E71" s="13"/>
      <c r="F71" s="125" t="s">
        <v>297</v>
      </c>
      <c r="G71" s="54" t="s">
        <v>356</v>
      </c>
      <c r="H71" s="88"/>
      <c r="I71" s="88"/>
      <c r="J71" s="72">
        <v>48.10222907</v>
      </c>
      <c r="K71" s="70">
        <v>2117</v>
      </c>
      <c r="L71" s="30">
        <v>1</v>
      </c>
      <c r="M71" s="14">
        <v>1</v>
      </c>
      <c r="N71" s="33" t="s">
        <v>282</v>
      </c>
      <c r="O71" s="17"/>
      <c r="P71" s="17"/>
      <c r="Q71" s="25">
        <v>1</v>
      </c>
      <c r="R71" s="18"/>
      <c r="S71" s="19"/>
    </row>
    <row r="72" spans="1:19" ht="34.5" customHeight="1" thickBot="1" x14ac:dyDescent="0.45">
      <c r="A72" s="52">
        <v>69</v>
      </c>
      <c r="B72" s="80"/>
      <c r="C72" s="75"/>
      <c r="D72" s="91"/>
      <c r="E72" s="13"/>
      <c r="F72" s="125" t="s">
        <v>334</v>
      </c>
      <c r="G72" s="54" t="s">
        <v>335</v>
      </c>
      <c r="H72" s="88"/>
      <c r="I72" s="88"/>
      <c r="J72" s="72">
        <v>46.498443600000002</v>
      </c>
      <c r="K72" s="70">
        <v>1628</v>
      </c>
      <c r="L72" s="30">
        <v>1</v>
      </c>
      <c r="M72" s="14">
        <v>1</v>
      </c>
      <c r="N72" s="33" t="s">
        <v>282</v>
      </c>
      <c r="O72" s="17"/>
      <c r="P72" s="17"/>
      <c r="Q72" s="25">
        <v>1</v>
      </c>
      <c r="R72" s="18"/>
      <c r="S72" s="19"/>
    </row>
    <row r="73" spans="1:19" ht="34.5" customHeight="1" thickBot="1" x14ac:dyDescent="0.45">
      <c r="A73" s="52">
        <v>70</v>
      </c>
      <c r="B73" s="80"/>
      <c r="C73" s="75"/>
      <c r="D73" s="91"/>
      <c r="E73" s="13"/>
      <c r="F73" s="125" t="s">
        <v>334</v>
      </c>
      <c r="G73" s="54" t="s">
        <v>353</v>
      </c>
      <c r="H73" s="88"/>
      <c r="I73" s="88"/>
      <c r="J73" s="72">
        <v>46.46428367</v>
      </c>
      <c r="K73" s="70">
        <v>2009</v>
      </c>
      <c r="L73" s="30">
        <v>1</v>
      </c>
      <c r="M73" s="14">
        <v>1</v>
      </c>
      <c r="N73" s="33" t="s">
        <v>282</v>
      </c>
      <c r="O73" s="17"/>
      <c r="P73" s="17"/>
      <c r="Q73" s="25">
        <v>1</v>
      </c>
      <c r="R73" s="18"/>
      <c r="S73" s="19"/>
    </row>
    <row r="74" spans="1:19" ht="34.5" customHeight="1" thickBot="1" x14ac:dyDescent="0.45">
      <c r="A74" s="52">
        <v>71</v>
      </c>
      <c r="B74" s="80"/>
      <c r="C74" s="75"/>
      <c r="D74" s="91"/>
      <c r="E74" s="13"/>
      <c r="F74" s="125" t="s">
        <v>336</v>
      </c>
      <c r="G74" s="54" t="s">
        <v>337</v>
      </c>
      <c r="H74" s="88"/>
      <c r="I74" s="88"/>
      <c r="J74" s="72">
        <v>48.206306499999997</v>
      </c>
      <c r="K74" s="70">
        <v>1432</v>
      </c>
      <c r="L74" s="30">
        <v>1</v>
      </c>
      <c r="M74" s="14">
        <v>1</v>
      </c>
      <c r="N74" s="33" t="s">
        <v>282</v>
      </c>
      <c r="O74" s="17"/>
      <c r="P74" s="17"/>
      <c r="Q74" s="25">
        <v>1</v>
      </c>
      <c r="R74" s="18"/>
      <c r="S74" s="19"/>
    </row>
    <row r="75" spans="1:19" ht="34.5" customHeight="1" thickBot="1" x14ac:dyDescent="0.45">
      <c r="A75" s="52">
        <v>72</v>
      </c>
      <c r="B75" s="80"/>
      <c r="C75" s="75"/>
      <c r="D75" s="91"/>
      <c r="E75" s="13"/>
      <c r="F75" s="125" t="s">
        <v>338</v>
      </c>
      <c r="G75" s="54" t="s">
        <v>339</v>
      </c>
      <c r="H75" s="88"/>
      <c r="I75" s="88"/>
      <c r="J75" s="72">
        <v>48.694516669999999</v>
      </c>
      <c r="K75" s="70">
        <v>1116</v>
      </c>
      <c r="L75" s="30">
        <v>1</v>
      </c>
      <c r="M75" s="14">
        <v>1</v>
      </c>
      <c r="N75" s="33" t="s">
        <v>282</v>
      </c>
      <c r="O75" s="17"/>
      <c r="P75" s="17"/>
      <c r="Q75" s="25">
        <v>1</v>
      </c>
      <c r="R75" s="18"/>
      <c r="S75" s="19"/>
    </row>
    <row r="76" spans="1:19" ht="34.5" customHeight="1" thickBot="1" x14ac:dyDescent="0.45">
      <c r="A76" s="52">
        <v>73</v>
      </c>
      <c r="B76" s="80"/>
      <c r="C76" s="75"/>
      <c r="D76" s="91"/>
      <c r="E76" s="13"/>
      <c r="F76" s="125" t="s">
        <v>338</v>
      </c>
      <c r="G76" s="54" t="s">
        <v>357</v>
      </c>
      <c r="H76" s="88"/>
      <c r="I76" s="88"/>
      <c r="J76" s="72">
        <v>47.7440353</v>
      </c>
      <c r="K76" s="70">
        <v>1431</v>
      </c>
      <c r="L76" s="30">
        <v>1</v>
      </c>
      <c r="M76" s="14">
        <v>1</v>
      </c>
      <c r="N76" s="33" t="s">
        <v>282</v>
      </c>
      <c r="O76" s="17"/>
      <c r="P76" s="17"/>
      <c r="Q76" s="25">
        <v>1</v>
      </c>
      <c r="R76" s="18"/>
      <c r="S76" s="19"/>
    </row>
    <row r="77" spans="1:19" ht="34.5" customHeight="1" thickBot="1" x14ac:dyDescent="0.45">
      <c r="A77" s="52">
        <v>74</v>
      </c>
      <c r="B77" s="80">
        <v>0</v>
      </c>
      <c r="C77" s="75" t="s">
        <v>221</v>
      </c>
      <c r="D77" s="90"/>
      <c r="E77" s="13"/>
      <c r="F77" s="125" t="s">
        <v>159</v>
      </c>
      <c r="G77" s="55" t="s">
        <v>8</v>
      </c>
      <c r="H77" s="88"/>
      <c r="I77" s="88"/>
      <c r="J77" s="72">
        <v>49</v>
      </c>
      <c r="K77" s="70">
        <v>257</v>
      </c>
      <c r="L77" s="30">
        <v>1</v>
      </c>
      <c r="M77" s="14">
        <v>1</v>
      </c>
      <c r="N77" s="33" t="s">
        <v>97</v>
      </c>
      <c r="O77" s="17"/>
      <c r="P77" s="17">
        <v>1</v>
      </c>
      <c r="Q77" s="25"/>
      <c r="R77" s="18"/>
      <c r="S77" s="19"/>
    </row>
    <row r="78" spans="1:19" ht="34.5" customHeight="1" thickBot="1" x14ac:dyDescent="0.45">
      <c r="A78" s="52">
        <v>75</v>
      </c>
      <c r="B78" s="80">
        <v>0</v>
      </c>
      <c r="C78" s="75" t="s">
        <v>221</v>
      </c>
      <c r="D78" s="90"/>
      <c r="E78" s="13"/>
      <c r="F78" s="125" t="s">
        <v>449</v>
      </c>
      <c r="G78" s="55" t="s">
        <v>191</v>
      </c>
      <c r="H78" s="88"/>
      <c r="I78" s="88"/>
      <c r="J78" s="72">
        <v>50.866666600000002</v>
      </c>
      <c r="K78" s="69">
        <v>272</v>
      </c>
      <c r="L78" s="30">
        <v>1</v>
      </c>
      <c r="M78" s="14">
        <v>1</v>
      </c>
      <c r="N78" s="33" t="s">
        <v>97</v>
      </c>
      <c r="O78" s="17"/>
      <c r="P78" s="17">
        <v>1</v>
      </c>
      <c r="Q78" s="25"/>
      <c r="R78" s="18"/>
      <c r="S78" s="19"/>
    </row>
    <row r="79" spans="1:19" ht="34.5" customHeight="1" thickBot="1" x14ac:dyDescent="0.45">
      <c r="A79" s="52">
        <v>76</v>
      </c>
      <c r="B79" s="80">
        <v>0</v>
      </c>
      <c r="C79" s="75" t="s">
        <v>221</v>
      </c>
      <c r="D79" s="90" t="s">
        <v>222</v>
      </c>
      <c r="E79" s="104">
        <v>0</v>
      </c>
      <c r="F79" s="59" t="s">
        <v>455</v>
      </c>
      <c r="G79" s="55" t="s">
        <v>192</v>
      </c>
      <c r="H79" s="139">
        <v>-23.8</v>
      </c>
      <c r="I79" s="111">
        <v>-5.7</v>
      </c>
      <c r="J79" s="72">
        <v>52.266666600000001</v>
      </c>
      <c r="K79" s="69">
        <v>902</v>
      </c>
      <c r="L79" s="30">
        <v>1</v>
      </c>
      <c r="M79" s="14">
        <v>1</v>
      </c>
      <c r="N79" s="33" t="s">
        <v>97</v>
      </c>
      <c r="O79" s="17"/>
      <c r="P79" s="17">
        <v>1</v>
      </c>
      <c r="Q79" s="25"/>
      <c r="R79" s="18"/>
      <c r="S79" s="19"/>
    </row>
    <row r="80" spans="1:19" ht="34.5" customHeight="1" thickBot="1" x14ac:dyDescent="0.45">
      <c r="A80" s="52">
        <v>77</v>
      </c>
      <c r="B80" s="80">
        <v>0</v>
      </c>
      <c r="C80" s="75" t="s">
        <v>221</v>
      </c>
      <c r="D80" s="90"/>
      <c r="E80" s="13"/>
      <c r="F80" s="125" t="s">
        <v>160</v>
      </c>
      <c r="G80" s="55" t="s">
        <v>6</v>
      </c>
      <c r="H80" s="88"/>
      <c r="I80" s="88"/>
      <c r="J80" s="72">
        <v>53.066666699999999</v>
      </c>
      <c r="K80" s="69">
        <v>543</v>
      </c>
      <c r="L80" s="30">
        <v>1</v>
      </c>
      <c r="M80" s="14">
        <v>1</v>
      </c>
      <c r="N80" s="33" t="s">
        <v>97</v>
      </c>
      <c r="O80" s="17"/>
      <c r="P80" s="17">
        <v>1</v>
      </c>
      <c r="Q80" s="25"/>
      <c r="R80" s="18"/>
      <c r="S80" s="19"/>
    </row>
    <row r="81" spans="1:21" ht="34.5" customHeight="1" thickBot="1" x14ac:dyDescent="0.45">
      <c r="A81" s="52">
        <v>78</v>
      </c>
      <c r="B81" s="80">
        <v>0</v>
      </c>
      <c r="C81" s="75" t="s">
        <v>221</v>
      </c>
      <c r="D81" s="90" t="s">
        <v>222</v>
      </c>
      <c r="E81" s="13"/>
      <c r="F81" s="125" t="s">
        <v>449</v>
      </c>
      <c r="G81" s="55" t="s">
        <v>7</v>
      </c>
      <c r="H81" s="137">
        <v>-22.8</v>
      </c>
      <c r="I81" s="113">
        <v>-2.5</v>
      </c>
      <c r="J81" s="72">
        <v>53.05</v>
      </c>
      <c r="K81" s="69">
        <v>153</v>
      </c>
      <c r="L81" s="30">
        <v>1</v>
      </c>
      <c r="M81" s="14">
        <v>1</v>
      </c>
      <c r="N81" s="33" t="s">
        <v>97</v>
      </c>
      <c r="O81" s="17"/>
      <c r="P81" s="17">
        <v>1</v>
      </c>
      <c r="Q81" s="25"/>
      <c r="R81" s="18"/>
      <c r="S81" s="19"/>
    </row>
    <row r="82" spans="1:21" ht="34.5" customHeight="1" thickBot="1" x14ac:dyDescent="0.45">
      <c r="A82" s="52">
        <v>79</v>
      </c>
      <c r="B82" s="80">
        <v>0</v>
      </c>
      <c r="C82" s="75" t="s">
        <v>221</v>
      </c>
      <c r="D82" s="90" t="s">
        <v>466</v>
      </c>
      <c r="E82" s="13"/>
      <c r="F82" s="125" t="s">
        <v>450</v>
      </c>
      <c r="G82" s="55" t="s">
        <v>193</v>
      </c>
      <c r="H82" s="137">
        <v>-22.2</v>
      </c>
      <c r="I82" s="135">
        <v>-4.3</v>
      </c>
      <c r="J82" s="72">
        <v>53.75</v>
      </c>
      <c r="K82" s="70">
        <v>625</v>
      </c>
      <c r="L82" s="30">
        <v>1</v>
      </c>
      <c r="M82" s="14">
        <v>1</v>
      </c>
      <c r="N82" s="33" t="s">
        <v>97</v>
      </c>
      <c r="O82" s="17"/>
      <c r="P82" s="17">
        <v>1</v>
      </c>
      <c r="Q82" s="25"/>
      <c r="R82" s="18"/>
      <c r="S82" s="19"/>
    </row>
    <row r="83" spans="1:21" ht="34.5" customHeight="1" thickBot="1" x14ac:dyDescent="0.45">
      <c r="A83" s="52">
        <v>80</v>
      </c>
      <c r="B83" s="80">
        <v>0</v>
      </c>
      <c r="C83" s="75" t="s">
        <v>148</v>
      </c>
      <c r="D83" s="90" t="s">
        <v>222</v>
      </c>
      <c r="E83" s="13"/>
      <c r="F83" s="125" t="s">
        <v>450</v>
      </c>
      <c r="G83" s="55" t="s">
        <v>223</v>
      </c>
      <c r="H83" s="166">
        <v>-24.8</v>
      </c>
      <c r="I83" s="112">
        <v>-3.3</v>
      </c>
      <c r="J83" s="72">
        <v>54.45</v>
      </c>
      <c r="K83" s="71">
        <v>686</v>
      </c>
      <c r="L83" s="30">
        <v>1</v>
      </c>
      <c r="M83" s="14">
        <v>1</v>
      </c>
      <c r="N83" s="33" t="s">
        <v>147</v>
      </c>
      <c r="O83" s="17"/>
      <c r="P83" s="17">
        <v>1</v>
      </c>
      <c r="Q83" s="25"/>
      <c r="R83" s="18"/>
      <c r="S83" s="19"/>
    </row>
    <row r="84" spans="1:21" ht="34.5" customHeight="1" thickBot="1" x14ac:dyDescent="0.45">
      <c r="A84" s="52">
        <v>81</v>
      </c>
      <c r="B84" s="80">
        <v>0</v>
      </c>
      <c r="C84" s="75" t="s">
        <v>221</v>
      </c>
      <c r="D84" s="90" t="s">
        <v>222</v>
      </c>
      <c r="E84" s="104">
        <v>0</v>
      </c>
      <c r="F84" s="59" t="s">
        <v>456</v>
      </c>
      <c r="G84" s="55" t="s">
        <v>194</v>
      </c>
      <c r="H84" s="139">
        <v>-23.7</v>
      </c>
      <c r="I84" s="113">
        <v>-2.9</v>
      </c>
      <c r="J84" s="72">
        <v>53.533333300000002</v>
      </c>
      <c r="K84" s="69">
        <v>811</v>
      </c>
      <c r="L84" s="30">
        <v>1</v>
      </c>
      <c r="M84" s="14">
        <v>1</v>
      </c>
      <c r="N84" s="33" t="s">
        <v>97</v>
      </c>
      <c r="O84" s="17"/>
      <c r="P84" s="17">
        <v>1</v>
      </c>
      <c r="Q84" s="25"/>
      <c r="R84" s="18"/>
      <c r="S84" s="19"/>
    </row>
    <row r="85" spans="1:21" ht="34.5" customHeight="1" thickBot="1" x14ac:dyDescent="0.45">
      <c r="A85" s="52">
        <v>82</v>
      </c>
      <c r="B85" s="80">
        <v>0</v>
      </c>
      <c r="C85" s="75" t="s">
        <v>221</v>
      </c>
      <c r="D85" s="90" t="s">
        <v>222</v>
      </c>
      <c r="E85" s="13"/>
      <c r="F85" s="125" t="s">
        <v>451</v>
      </c>
      <c r="G85" s="55" t="s">
        <v>5</v>
      </c>
      <c r="H85" s="140">
        <v>-13.8</v>
      </c>
      <c r="I85" s="113">
        <v>-2.9</v>
      </c>
      <c r="J85" s="72">
        <v>53.616666600000002</v>
      </c>
      <c r="K85" s="69">
        <v>489</v>
      </c>
      <c r="L85" s="30">
        <v>1</v>
      </c>
      <c r="M85" s="14">
        <v>1</v>
      </c>
      <c r="N85" s="33" t="s">
        <v>97</v>
      </c>
      <c r="O85" s="17"/>
      <c r="P85" s="17">
        <v>1</v>
      </c>
      <c r="Q85" s="25"/>
      <c r="R85" s="18"/>
      <c r="S85" s="19"/>
    </row>
    <row r="86" spans="1:21" ht="34.5" customHeight="1" thickBot="1" x14ac:dyDescent="0.45">
      <c r="A86" s="52">
        <v>83</v>
      </c>
      <c r="B86" s="80">
        <v>0</v>
      </c>
      <c r="C86" s="75" t="s">
        <v>221</v>
      </c>
      <c r="D86" s="90" t="s">
        <v>222</v>
      </c>
      <c r="E86" s="104">
        <v>0</v>
      </c>
      <c r="F86" s="59" t="s">
        <v>161</v>
      </c>
      <c r="G86" s="55" t="s">
        <v>226</v>
      </c>
      <c r="H86" s="106">
        <v>-12.6</v>
      </c>
      <c r="I86" s="115">
        <v>1.3</v>
      </c>
      <c r="J86" s="72">
        <v>53.966666600000003</v>
      </c>
      <c r="K86" s="69">
        <v>533</v>
      </c>
      <c r="L86" s="30">
        <v>1</v>
      </c>
      <c r="M86" s="14">
        <v>1</v>
      </c>
      <c r="N86" s="33" t="s">
        <v>97</v>
      </c>
      <c r="O86" s="17"/>
      <c r="P86" s="17">
        <v>1</v>
      </c>
      <c r="Q86" s="25"/>
      <c r="R86" s="18"/>
      <c r="S86" s="19"/>
    </row>
    <row r="87" spans="1:21" ht="34.5" customHeight="1" thickBot="1" x14ac:dyDescent="0.45">
      <c r="A87" s="52">
        <v>84</v>
      </c>
      <c r="B87" s="80">
        <v>0</v>
      </c>
      <c r="C87" s="75" t="s">
        <v>221</v>
      </c>
      <c r="D87" s="90"/>
      <c r="E87" s="13"/>
      <c r="F87" s="125" t="s">
        <v>162</v>
      </c>
      <c r="G87" s="55" t="s">
        <v>195</v>
      </c>
      <c r="H87" s="88"/>
      <c r="I87" s="88"/>
      <c r="J87" s="72">
        <v>51.483333299999998</v>
      </c>
      <c r="K87" s="69">
        <v>705.8</v>
      </c>
      <c r="L87" s="30">
        <v>1</v>
      </c>
      <c r="M87" s="14">
        <v>1</v>
      </c>
      <c r="N87" s="33" t="s">
        <v>97</v>
      </c>
      <c r="O87" s="17"/>
      <c r="P87" s="17">
        <v>1</v>
      </c>
      <c r="Q87" s="25"/>
      <c r="R87" s="18"/>
      <c r="S87" s="19"/>
    </row>
    <row r="88" spans="1:21" ht="34.5" customHeight="1" thickBot="1" x14ac:dyDescent="0.45">
      <c r="A88" s="52">
        <v>85</v>
      </c>
      <c r="B88" s="80">
        <v>0</v>
      </c>
      <c r="C88" s="75" t="s">
        <v>221</v>
      </c>
      <c r="D88" s="90" t="s">
        <v>222</v>
      </c>
      <c r="E88" s="104">
        <v>0</v>
      </c>
      <c r="F88" s="59" t="s">
        <v>162</v>
      </c>
      <c r="G88" s="55" t="s">
        <v>196</v>
      </c>
      <c r="H88" s="109">
        <v>-7.4</v>
      </c>
      <c r="I88" s="115">
        <v>1.4</v>
      </c>
      <c r="J88" s="72">
        <v>51.716666600000003</v>
      </c>
      <c r="K88" s="69">
        <v>628</v>
      </c>
      <c r="L88" s="30">
        <v>1</v>
      </c>
      <c r="M88" s="14">
        <v>1</v>
      </c>
      <c r="N88" s="33" t="s">
        <v>97</v>
      </c>
      <c r="O88" s="17"/>
      <c r="P88" s="17">
        <v>1</v>
      </c>
      <c r="Q88" s="25"/>
      <c r="R88" s="18"/>
      <c r="S88" s="19"/>
    </row>
    <row r="89" spans="1:21" ht="34.5" customHeight="1" thickBot="1" x14ac:dyDescent="0.45">
      <c r="A89" s="52">
        <v>86</v>
      </c>
      <c r="B89" s="80">
        <v>0</v>
      </c>
      <c r="C89" s="75" t="s">
        <v>221</v>
      </c>
      <c r="D89" s="90"/>
      <c r="E89" s="13"/>
      <c r="F89" s="125" t="s">
        <v>162</v>
      </c>
      <c r="G89" s="55" t="s">
        <v>197</v>
      </c>
      <c r="H89" s="88"/>
      <c r="I89" s="88"/>
      <c r="J89" s="72">
        <v>50.25</v>
      </c>
      <c r="K89" s="69">
        <v>1100</v>
      </c>
      <c r="L89" s="30">
        <v>1</v>
      </c>
      <c r="M89" s="14">
        <v>1</v>
      </c>
      <c r="N89" s="33" t="s">
        <v>97</v>
      </c>
      <c r="O89" s="17"/>
      <c r="P89" s="17">
        <v>1</v>
      </c>
      <c r="Q89" s="25"/>
      <c r="R89" s="18"/>
      <c r="S89" s="19"/>
    </row>
    <row r="90" spans="1:21" ht="34.5" customHeight="1" thickBot="1" x14ac:dyDescent="0.45">
      <c r="A90" s="52">
        <v>87</v>
      </c>
      <c r="B90" s="80">
        <v>0</v>
      </c>
      <c r="C90" s="75" t="s">
        <v>221</v>
      </c>
      <c r="D90" s="90" t="s">
        <v>222</v>
      </c>
      <c r="E90" s="13"/>
      <c r="F90" s="125" t="s">
        <v>163</v>
      </c>
      <c r="G90" s="55" t="s">
        <v>198</v>
      </c>
      <c r="H90" s="132">
        <v>-8.6999999999999993</v>
      </c>
      <c r="I90" s="171">
        <v>2.2999999999999998</v>
      </c>
      <c r="J90" s="72">
        <v>50.016666600000001</v>
      </c>
      <c r="K90" s="69">
        <v>1759</v>
      </c>
      <c r="L90" s="30">
        <v>1</v>
      </c>
      <c r="M90" s="14">
        <v>1</v>
      </c>
      <c r="N90" s="33" t="s">
        <v>97</v>
      </c>
      <c r="O90" s="17"/>
      <c r="P90" s="17">
        <v>1</v>
      </c>
      <c r="Q90" s="25"/>
      <c r="R90" s="18"/>
      <c r="S90" s="19"/>
    </row>
    <row r="91" spans="1:21" ht="34.5" customHeight="1" thickBot="1" x14ac:dyDescent="0.45">
      <c r="A91" s="52">
        <v>88</v>
      </c>
      <c r="B91" s="80"/>
      <c r="C91" s="75" t="s">
        <v>221</v>
      </c>
      <c r="D91" s="90"/>
      <c r="E91" s="13"/>
      <c r="F91" s="125" t="s">
        <v>450</v>
      </c>
      <c r="G91" s="55" t="s">
        <v>199</v>
      </c>
      <c r="H91" s="88"/>
      <c r="I91" s="88"/>
      <c r="J91" s="72">
        <v>52.75</v>
      </c>
      <c r="K91" s="70">
        <v>370</v>
      </c>
      <c r="L91" s="30">
        <v>1</v>
      </c>
      <c r="M91" s="14">
        <v>1</v>
      </c>
      <c r="N91" s="33" t="s">
        <v>97</v>
      </c>
      <c r="O91" s="17"/>
      <c r="P91" s="17">
        <v>1</v>
      </c>
      <c r="Q91" s="25"/>
      <c r="R91" s="18"/>
      <c r="S91" s="19"/>
      <c r="U91" t="s">
        <v>117</v>
      </c>
    </row>
    <row r="92" spans="1:21" ht="34.5" customHeight="1" thickBot="1" x14ac:dyDescent="0.45">
      <c r="A92" s="52">
        <v>89</v>
      </c>
      <c r="B92" s="80">
        <v>0</v>
      </c>
      <c r="C92" s="75" t="s">
        <v>221</v>
      </c>
      <c r="D92" s="90"/>
      <c r="E92" s="13"/>
      <c r="F92" s="125" t="s">
        <v>446</v>
      </c>
      <c r="G92" s="56" t="s">
        <v>57</v>
      </c>
      <c r="H92" s="88"/>
      <c r="I92" s="88"/>
      <c r="J92" s="72">
        <v>48.75</v>
      </c>
      <c r="K92" s="70">
        <v>512</v>
      </c>
      <c r="L92" s="30">
        <v>1</v>
      </c>
      <c r="M92" s="14">
        <v>1</v>
      </c>
      <c r="N92" s="33" t="s">
        <v>98</v>
      </c>
      <c r="O92" s="17"/>
      <c r="P92" s="17"/>
      <c r="Q92" s="25"/>
      <c r="R92" s="18"/>
      <c r="S92" s="19"/>
    </row>
    <row r="93" spans="1:21" ht="34.5" customHeight="1" thickBot="1" x14ac:dyDescent="0.45">
      <c r="A93" s="52">
        <v>90</v>
      </c>
      <c r="B93" s="80"/>
      <c r="C93" s="75" t="s">
        <v>221</v>
      </c>
      <c r="D93" s="90"/>
      <c r="E93" s="13"/>
      <c r="F93" s="125" t="s">
        <v>452</v>
      </c>
      <c r="G93" s="56" t="s">
        <v>424</v>
      </c>
      <c r="H93" s="88"/>
      <c r="I93" s="88"/>
      <c r="J93" s="72">
        <v>48.791186111111102</v>
      </c>
      <c r="K93" s="70">
        <v>1481</v>
      </c>
      <c r="L93" s="30">
        <v>1</v>
      </c>
      <c r="M93" s="14">
        <v>1</v>
      </c>
      <c r="N93" s="33" t="s">
        <v>425</v>
      </c>
      <c r="O93" s="17"/>
      <c r="P93" s="17"/>
      <c r="Q93" s="25"/>
      <c r="R93" s="18"/>
      <c r="S93" s="19"/>
    </row>
    <row r="94" spans="1:21" ht="34.5" customHeight="1" thickBot="1" x14ac:dyDescent="0.45">
      <c r="A94" s="52">
        <v>91</v>
      </c>
      <c r="B94" s="80">
        <v>0</v>
      </c>
      <c r="C94" s="75" t="s">
        <v>221</v>
      </c>
      <c r="D94" s="90" t="s">
        <v>466</v>
      </c>
      <c r="E94" s="13"/>
      <c r="F94" s="125" t="s">
        <v>164</v>
      </c>
      <c r="G94" s="56" t="s">
        <v>58</v>
      </c>
      <c r="H94" s="120">
        <v>-11.2</v>
      </c>
      <c r="I94" s="120">
        <v>-2.2000000000000002</v>
      </c>
      <c r="J94" s="72">
        <v>41.816666599999998</v>
      </c>
      <c r="K94" s="70">
        <v>1381</v>
      </c>
      <c r="L94" s="30">
        <v>1</v>
      </c>
      <c r="M94" s="14">
        <v>1</v>
      </c>
      <c r="N94" s="33" t="s">
        <v>98</v>
      </c>
      <c r="O94" s="17"/>
      <c r="P94" s="17"/>
      <c r="Q94" s="25"/>
      <c r="R94" s="18"/>
      <c r="S94" s="19"/>
    </row>
    <row r="95" spans="1:21" ht="34.5" customHeight="1" thickBot="1" x14ac:dyDescent="0.45">
      <c r="A95" s="52">
        <v>92</v>
      </c>
      <c r="B95" s="80">
        <v>0</v>
      </c>
      <c r="C95" s="75" t="s">
        <v>221</v>
      </c>
      <c r="D95" s="122" t="s">
        <v>222</v>
      </c>
      <c r="E95" s="13"/>
      <c r="F95" s="125" t="s">
        <v>270</v>
      </c>
      <c r="G95" s="57" t="s">
        <v>59</v>
      </c>
      <c r="H95" s="119">
        <v>-1.7</v>
      </c>
      <c r="I95" s="131">
        <v>8.4</v>
      </c>
      <c r="J95" s="72">
        <v>41.732500000000002</v>
      </c>
      <c r="K95" s="70">
        <v>51</v>
      </c>
      <c r="L95" s="30">
        <v>1</v>
      </c>
      <c r="M95" s="15">
        <v>1</v>
      </c>
      <c r="N95" s="33" t="s">
        <v>99</v>
      </c>
      <c r="O95" s="17">
        <v>1</v>
      </c>
      <c r="P95" s="17"/>
      <c r="Q95" s="25"/>
      <c r="R95" s="18">
        <v>1</v>
      </c>
      <c r="S95" s="19">
        <v>1</v>
      </c>
    </row>
    <row r="96" spans="1:21" ht="34.5" customHeight="1" thickBot="1" x14ac:dyDescent="0.45">
      <c r="A96" s="52">
        <v>93</v>
      </c>
      <c r="B96" s="80">
        <v>0</v>
      </c>
      <c r="C96" s="75"/>
      <c r="D96" s="90" t="s">
        <v>222</v>
      </c>
      <c r="E96" s="13"/>
      <c r="F96" s="125" t="s">
        <v>165</v>
      </c>
      <c r="G96" s="57" t="s">
        <v>22</v>
      </c>
      <c r="H96" s="111">
        <v>-6</v>
      </c>
      <c r="I96" s="117">
        <v>4.3</v>
      </c>
      <c r="J96" s="72">
        <v>42.740299999999998</v>
      </c>
      <c r="K96" s="70">
        <v>196.1</v>
      </c>
      <c r="L96" s="30">
        <v>1</v>
      </c>
      <c r="M96" s="14">
        <v>1</v>
      </c>
      <c r="N96" s="33" t="s">
        <v>99</v>
      </c>
      <c r="O96" s="17">
        <v>1</v>
      </c>
      <c r="P96" s="17"/>
      <c r="Q96" s="25"/>
      <c r="R96" s="18"/>
      <c r="S96" s="19"/>
    </row>
    <row r="97" spans="1:19" ht="34.5" customHeight="1" thickBot="1" x14ac:dyDescent="0.45">
      <c r="A97" s="52">
        <v>94</v>
      </c>
      <c r="B97" s="80">
        <v>0</v>
      </c>
      <c r="C97" s="75" t="s">
        <v>221</v>
      </c>
      <c r="D97" s="122" t="s">
        <v>222</v>
      </c>
      <c r="E97" s="13"/>
      <c r="F97" s="125" t="s">
        <v>271</v>
      </c>
      <c r="G97" s="57" t="s">
        <v>60</v>
      </c>
      <c r="H97" s="112">
        <v>-3.8</v>
      </c>
      <c r="I97" s="116">
        <v>3.8</v>
      </c>
      <c r="J97" s="72">
        <v>43.891399999999997</v>
      </c>
      <c r="K97" s="70">
        <v>236.8</v>
      </c>
      <c r="L97" s="30">
        <v>1</v>
      </c>
      <c r="M97" s="15">
        <v>1</v>
      </c>
      <c r="N97" s="33" t="s">
        <v>99</v>
      </c>
      <c r="O97" s="17">
        <v>1</v>
      </c>
      <c r="P97" s="17"/>
      <c r="Q97" s="25"/>
      <c r="R97" s="18">
        <v>1</v>
      </c>
      <c r="S97" s="19">
        <v>1</v>
      </c>
    </row>
    <row r="98" spans="1:19" ht="34.5" customHeight="1" thickBot="1" x14ac:dyDescent="0.45">
      <c r="A98" s="52">
        <v>95</v>
      </c>
      <c r="B98" s="80">
        <v>0</v>
      </c>
      <c r="C98" s="75" t="s">
        <v>221</v>
      </c>
      <c r="D98" s="90" t="s">
        <v>222</v>
      </c>
      <c r="E98" s="13"/>
      <c r="F98" s="125" t="s">
        <v>166</v>
      </c>
      <c r="G98" s="57" t="s">
        <v>21</v>
      </c>
      <c r="H98" s="119">
        <v>-1.1000000000000001</v>
      </c>
      <c r="I98" s="117">
        <v>4.0999999999999996</v>
      </c>
      <c r="J98" s="72">
        <v>42.978299999999997</v>
      </c>
      <c r="K98" s="69">
        <v>263.3</v>
      </c>
      <c r="L98" s="30">
        <v>1</v>
      </c>
      <c r="M98" s="14">
        <v>1</v>
      </c>
      <c r="N98" s="33" t="s">
        <v>99</v>
      </c>
      <c r="O98" s="17">
        <v>1</v>
      </c>
      <c r="P98" s="17"/>
      <c r="Q98" s="25"/>
      <c r="R98" s="18"/>
      <c r="S98" s="19"/>
    </row>
    <row r="99" spans="1:19" ht="34.5" customHeight="1" thickBot="1" x14ac:dyDescent="0.45">
      <c r="A99" s="52">
        <v>96</v>
      </c>
      <c r="B99" s="80">
        <v>0</v>
      </c>
      <c r="C99" s="75" t="s">
        <v>221</v>
      </c>
      <c r="D99" s="122" t="s">
        <v>222</v>
      </c>
      <c r="E99" s="13"/>
      <c r="F99" s="126" t="s">
        <v>272</v>
      </c>
      <c r="G99" s="57" t="s">
        <v>20</v>
      </c>
      <c r="H99" s="113">
        <v>-2.2000000000000002</v>
      </c>
      <c r="I99" s="171">
        <v>2.1</v>
      </c>
      <c r="J99" s="72">
        <v>45.934199999999997</v>
      </c>
      <c r="K99" s="70">
        <v>115</v>
      </c>
      <c r="L99" s="30">
        <v>1</v>
      </c>
      <c r="M99" s="15">
        <v>1</v>
      </c>
      <c r="N99" s="33" t="s">
        <v>99</v>
      </c>
      <c r="O99" s="17">
        <v>1</v>
      </c>
      <c r="P99" s="17"/>
      <c r="Q99" s="25"/>
      <c r="R99" s="18">
        <v>1</v>
      </c>
      <c r="S99" s="19">
        <v>1</v>
      </c>
    </row>
    <row r="100" spans="1:19" ht="34.5" customHeight="1" thickBot="1" x14ac:dyDescent="0.45">
      <c r="A100" s="52">
        <v>97</v>
      </c>
      <c r="B100" s="80">
        <v>0</v>
      </c>
      <c r="C100" s="75"/>
      <c r="D100" s="90" t="s">
        <v>222</v>
      </c>
      <c r="E100" s="13"/>
      <c r="F100" s="125" t="s">
        <v>167</v>
      </c>
      <c r="G100" s="57" t="s">
        <v>24</v>
      </c>
      <c r="H100" s="132">
        <v>-8.9</v>
      </c>
      <c r="I100" s="130">
        <v>0.9</v>
      </c>
      <c r="J100" s="72">
        <v>48.887799999999999</v>
      </c>
      <c r="K100" s="69">
        <v>90</v>
      </c>
      <c r="L100" s="30">
        <v>1</v>
      </c>
      <c r="M100" s="14">
        <v>1</v>
      </c>
      <c r="N100" s="33" t="s">
        <v>99</v>
      </c>
      <c r="O100" s="17">
        <v>1</v>
      </c>
      <c r="P100" s="17"/>
      <c r="Q100" s="25"/>
      <c r="R100" s="18"/>
      <c r="S100" s="19"/>
    </row>
    <row r="101" spans="1:19" ht="34.5" customHeight="1" thickBot="1" x14ac:dyDescent="0.45">
      <c r="A101" s="52">
        <v>98</v>
      </c>
      <c r="B101" s="80">
        <v>0</v>
      </c>
      <c r="C101" s="75" t="s">
        <v>221</v>
      </c>
      <c r="D101" s="90"/>
      <c r="E101" s="13"/>
      <c r="F101" s="125" t="s">
        <v>168</v>
      </c>
      <c r="G101" s="57" t="s">
        <v>200</v>
      </c>
      <c r="H101" s="88"/>
      <c r="I101" s="88"/>
      <c r="J101" s="72">
        <v>51.726100000000002</v>
      </c>
      <c r="K101" s="69">
        <v>173.9</v>
      </c>
      <c r="L101" s="30">
        <v>1</v>
      </c>
      <c r="M101" s="15">
        <v>1</v>
      </c>
      <c r="N101" s="33" t="s">
        <v>99</v>
      </c>
      <c r="O101" s="17">
        <v>1</v>
      </c>
      <c r="P101" s="17"/>
      <c r="Q101" s="25"/>
      <c r="R101" s="18"/>
      <c r="S101" s="19"/>
    </row>
    <row r="102" spans="1:19" ht="34.5" customHeight="1" thickBot="1" x14ac:dyDescent="0.45">
      <c r="A102" s="52">
        <v>99</v>
      </c>
      <c r="B102" s="80">
        <v>0</v>
      </c>
      <c r="C102" s="75"/>
      <c r="D102" s="90" t="s">
        <v>466</v>
      </c>
      <c r="E102" s="13"/>
      <c r="F102" s="125" t="s">
        <v>168</v>
      </c>
      <c r="G102" s="57" t="s">
        <v>61</v>
      </c>
      <c r="H102" s="139">
        <v>-23.1</v>
      </c>
      <c r="I102" s="112">
        <v>-3.9</v>
      </c>
      <c r="J102" s="72">
        <v>52.348100000000002</v>
      </c>
      <c r="K102" s="69">
        <v>359.4</v>
      </c>
      <c r="L102" s="30">
        <v>1</v>
      </c>
      <c r="M102" s="14">
        <v>1</v>
      </c>
      <c r="N102" s="33" t="s">
        <v>99</v>
      </c>
      <c r="O102" s="17">
        <v>1</v>
      </c>
      <c r="P102" s="17"/>
      <c r="Q102" s="25"/>
      <c r="R102" s="18"/>
      <c r="S102" s="19"/>
    </row>
    <row r="103" spans="1:19" ht="34.5" customHeight="1" thickBot="1" x14ac:dyDescent="0.45">
      <c r="A103" s="52">
        <v>100</v>
      </c>
      <c r="B103" s="80">
        <v>0</v>
      </c>
      <c r="C103" s="75"/>
      <c r="D103" s="90" t="s">
        <v>466</v>
      </c>
      <c r="E103" s="13"/>
      <c r="F103" s="125" t="s">
        <v>264</v>
      </c>
      <c r="G103" s="57" t="s">
        <v>201</v>
      </c>
      <c r="H103" s="167">
        <v>-21.2</v>
      </c>
      <c r="I103" s="113">
        <v>-2.2000000000000002</v>
      </c>
      <c r="J103" s="72">
        <v>52.036099999999998</v>
      </c>
      <c r="K103" s="70">
        <v>514.5</v>
      </c>
      <c r="L103" s="30">
        <v>1</v>
      </c>
      <c r="M103" s="14">
        <v>1</v>
      </c>
      <c r="N103" s="33" t="s">
        <v>99</v>
      </c>
      <c r="O103" s="17">
        <v>1</v>
      </c>
      <c r="P103" s="17"/>
      <c r="Q103" s="25"/>
      <c r="R103" s="18"/>
      <c r="S103" s="19"/>
    </row>
    <row r="104" spans="1:19" ht="34.5" customHeight="1" thickBot="1" x14ac:dyDescent="0.45">
      <c r="A104" s="52">
        <v>101</v>
      </c>
      <c r="B104" s="80">
        <v>0</v>
      </c>
      <c r="C104" s="75" t="s">
        <v>221</v>
      </c>
      <c r="D104" s="90" t="s">
        <v>222</v>
      </c>
      <c r="E104" s="104">
        <v>0</v>
      </c>
      <c r="F104" s="59" t="s">
        <v>168</v>
      </c>
      <c r="G104" s="57" t="s">
        <v>202</v>
      </c>
      <c r="H104" s="164">
        <v>-26.7</v>
      </c>
      <c r="I104" s="113">
        <v>-2.8</v>
      </c>
      <c r="J104" s="72">
        <v>52.974400000000003</v>
      </c>
      <c r="K104" s="69">
        <v>433.9</v>
      </c>
      <c r="L104" s="30">
        <v>1</v>
      </c>
      <c r="M104" s="14">
        <v>1</v>
      </c>
      <c r="N104" s="33" t="s">
        <v>99</v>
      </c>
      <c r="O104" s="17">
        <v>1</v>
      </c>
      <c r="P104" s="17"/>
      <c r="Q104" s="25"/>
      <c r="R104" s="18"/>
      <c r="S104" s="19"/>
    </row>
    <row r="105" spans="1:19" ht="34.5" customHeight="1" thickBot="1" x14ac:dyDescent="0.45">
      <c r="A105" s="52">
        <v>102</v>
      </c>
      <c r="B105" s="80">
        <v>0</v>
      </c>
      <c r="C105" s="75"/>
      <c r="D105" s="90"/>
      <c r="E105" s="13"/>
      <c r="F105" s="125" t="s">
        <v>230</v>
      </c>
      <c r="G105" s="57" t="s">
        <v>203</v>
      </c>
      <c r="H105" s="88"/>
      <c r="I105" s="88"/>
      <c r="J105" s="72">
        <v>53.468899999999998</v>
      </c>
      <c r="K105" s="69">
        <v>291.60000000000002</v>
      </c>
      <c r="L105" s="30">
        <v>1</v>
      </c>
      <c r="M105" s="14">
        <v>1</v>
      </c>
      <c r="N105" s="33" t="s">
        <v>99</v>
      </c>
      <c r="O105" s="17">
        <v>1</v>
      </c>
      <c r="P105" s="17"/>
      <c r="Q105" s="25"/>
      <c r="R105" s="18"/>
      <c r="S105" s="19"/>
    </row>
    <row r="106" spans="1:19" ht="34.5" customHeight="1" thickBot="1" x14ac:dyDescent="0.45">
      <c r="A106" s="52">
        <v>103</v>
      </c>
      <c r="B106" s="80">
        <v>0</v>
      </c>
      <c r="C106" s="75"/>
      <c r="D106" s="90" t="s">
        <v>222</v>
      </c>
      <c r="E106" s="13"/>
      <c r="F106" s="125" t="s">
        <v>228</v>
      </c>
      <c r="G106" s="57" t="s">
        <v>204</v>
      </c>
      <c r="H106" s="137">
        <v>-22.5</v>
      </c>
      <c r="I106" s="135">
        <v>-4.9000000000000004</v>
      </c>
      <c r="J106" s="72">
        <v>50.782800000000002</v>
      </c>
      <c r="K106" s="69">
        <v>716.7</v>
      </c>
      <c r="L106" s="30">
        <v>1</v>
      </c>
      <c r="M106" s="14">
        <v>1</v>
      </c>
      <c r="N106" s="33" t="s">
        <v>99</v>
      </c>
      <c r="O106" s="17">
        <v>1</v>
      </c>
      <c r="P106" s="17"/>
      <c r="Q106" s="25"/>
      <c r="R106" s="18"/>
      <c r="S106" s="19"/>
    </row>
    <row r="107" spans="1:19" ht="34.5" customHeight="1" thickBot="1" x14ac:dyDescent="0.45">
      <c r="A107" s="52">
        <v>104</v>
      </c>
      <c r="B107" s="80">
        <v>0</v>
      </c>
      <c r="C107" s="75" t="s">
        <v>221</v>
      </c>
      <c r="D107" s="90" t="s">
        <v>222</v>
      </c>
      <c r="E107" s="104">
        <v>0</v>
      </c>
      <c r="F107" s="59" t="s">
        <v>231</v>
      </c>
      <c r="G107" s="57" t="s">
        <v>220</v>
      </c>
      <c r="H107" s="167">
        <v>-21.4</v>
      </c>
      <c r="I107" s="135">
        <v>-4.9000000000000004</v>
      </c>
      <c r="J107" s="72">
        <v>50.478099999999998</v>
      </c>
      <c r="K107" s="70">
        <v>734.8</v>
      </c>
      <c r="L107" s="30">
        <v>1</v>
      </c>
      <c r="M107" s="14">
        <v>1</v>
      </c>
      <c r="N107" s="33" t="s">
        <v>99</v>
      </c>
      <c r="O107" s="17">
        <v>1</v>
      </c>
      <c r="P107" s="17"/>
      <c r="Q107" s="25"/>
      <c r="R107" s="18"/>
      <c r="S107" s="19"/>
    </row>
    <row r="108" spans="1:19" ht="34.5" customHeight="1" thickBot="1" x14ac:dyDescent="0.45">
      <c r="A108" s="52">
        <v>105</v>
      </c>
      <c r="B108" s="80">
        <v>0</v>
      </c>
      <c r="C108" s="75"/>
      <c r="D108" s="90" t="s">
        <v>222</v>
      </c>
      <c r="E108" s="104">
        <v>0</v>
      </c>
      <c r="F108" s="59" t="s">
        <v>169</v>
      </c>
      <c r="G108" s="57" t="s">
        <v>205</v>
      </c>
      <c r="H108" s="168">
        <v>-17.3</v>
      </c>
      <c r="I108" s="112">
        <v>-3.3</v>
      </c>
      <c r="J108" s="72">
        <v>50.236899999999999</v>
      </c>
      <c r="K108" s="69">
        <v>581.4</v>
      </c>
      <c r="L108" s="30">
        <v>1</v>
      </c>
      <c r="M108" s="14">
        <v>1</v>
      </c>
      <c r="N108" s="33" t="s">
        <v>99</v>
      </c>
      <c r="O108" s="17">
        <v>1</v>
      </c>
      <c r="P108" s="17"/>
      <c r="Q108" s="25"/>
      <c r="R108" s="18"/>
      <c r="S108" s="19"/>
    </row>
    <row r="109" spans="1:19" ht="34.5" customHeight="1" thickBot="1" x14ac:dyDescent="0.45">
      <c r="A109" s="52">
        <v>106</v>
      </c>
      <c r="B109" s="80"/>
      <c r="C109" s="75"/>
      <c r="D109" s="90"/>
      <c r="E109" s="13"/>
      <c r="F109" s="125" t="s">
        <v>169</v>
      </c>
      <c r="G109" s="57" t="s">
        <v>30</v>
      </c>
      <c r="H109" s="88"/>
      <c r="I109" s="88"/>
      <c r="J109" s="72">
        <v>49.3414</v>
      </c>
      <c r="K109" s="69">
        <v>597.4</v>
      </c>
      <c r="L109" s="30">
        <v>1</v>
      </c>
      <c r="M109" s="14">
        <v>1</v>
      </c>
      <c r="N109" s="33" t="s">
        <v>99</v>
      </c>
      <c r="O109" s="17">
        <v>1</v>
      </c>
      <c r="P109" s="17"/>
      <c r="Q109" s="25"/>
      <c r="R109" s="18"/>
      <c r="S109" s="19"/>
    </row>
    <row r="110" spans="1:19" ht="34.5" customHeight="1" thickBot="1" x14ac:dyDescent="0.45">
      <c r="A110" s="52">
        <v>107</v>
      </c>
      <c r="B110" s="80">
        <v>0</v>
      </c>
      <c r="C110" s="75" t="s">
        <v>221</v>
      </c>
      <c r="D110" s="90"/>
      <c r="E110" s="13"/>
      <c r="F110" s="125" t="s">
        <v>273</v>
      </c>
      <c r="G110" s="57" t="s">
        <v>14</v>
      </c>
      <c r="H110" s="88"/>
      <c r="I110" s="88"/>
      <c r="J110" s="72">
        <v>49.25</v>
      </c>
      <c r="K110" s="69">
        <v>649.70000000000005</v>
      </c>
      <c r="L110" s="30">
        <v>1</v>
      </c>
      <c r="M110" s="14">
        <v>1</v>
      </c>
      <c r="N110" s="33" t="s">
        <v>99</v>
      </c>
      <c r="O110" s="17">
        <v>1</v>
      </c>
      <c r="P110" s="17"/>
      <c r="Q110" s="25"/>
      <c r="R110" s="18"/>
      <c r="S110" s="19"/>
    </row>
    <row r="111" spans="1:19" ht="34.5" customHeight="1" thickBot="1" x14ac:dyDescent="0.45">
      <c r="A111" s="52">
        <v>108</v>
      </c>
      <c r="B111" s="80"/>
      <c r="C111" s="75"/>
      <c r="D111" s="90"/>
      <c r="E111" s="13"/>
      <c r="F111" s="125" t="s">
        <v>169</v>
      </c>
      <c r="G111" s="57" t="s">
        <v>101</v>
      </c>
      <c r="H111" s="88"/>
      <c r="I111" s="88"/>
      <c r="J111" s="72">
        <v>49.132800000000003</v>
      </c>
      <c r="K111" s="69">
        <v>617.29999999999995</v>
      </c>
      <c r="L111" s="30">
        <v>1</v>
      </c>
      <c r="M111" s="14">
        <v>1</v>
      </c>
      <c r="N111" s="33" t="s">
        <v>99</v>
      </c>
      <c r="O111" s="17">
        <v>1</v>
      </c>
      <c r="P111" s="17"/>
      <c r="Q111" s="25"/>
      <c r="R111" s="18"/>
      <c r="S111" s="19"/>
    </row>
    <row r="112" spans="1:19" ht="34.5" customHeight="1" thickBot="1" x14ac:dyDescent="0.45">
      <c r="A112" s="52">
        <v>109</v>
      </c>
      <c r="B112" s="80">
        <v>0</v>
      </c>
      <c r="C112" s="75"/>
      <c r="D112" s="90" t="s">
        <v>466</v>
      </c>
      <c r="E112" s="13"/>
      <c r="F112" s="125" t="s">
        <v>169</v>
      </c>
      <c r="G112" s="57" t="s">
        <v>62</v>
      </c>
      <c r="H112" s="134">
        <v>-19.399999999999999</v>
      </c>
      <c r="I112" s="110">
        <v>-6.5</v>
      </c>
      <c r="J112" s="72">
        <v>49.283099999999997</v>
      </c>
      <c r="K112" s="69">
        <v>654.9</v>
      </c>
      <c r="L112" s="30">
        <v>1</v>
      </c>
      <c r="M112" s="14">
        <v>1</v>
      </c>
      <c r="N112" s="33" t="s">
        <v>99</v>
      </c>
      <c r="O112" s="17">
        <v>1</v>
      </c>
      <c r="P112" s="17"/>
      <c r="Q112" s="25"/>
      <c r="R112" s="18"/>
      <c r="S112" s="19"/>
    </row>
    <row r="113" spans="1:19" ht="34.5" customHeight="1" thickBot="1" x14ac:dyDescent="0.45">
      <c r="A113" s="52">
        <v>110</v>
      </c>
      <c r="B113" s="80">
        <v>0</v>
      </c>
      <c r="C113" s="75" t="s">
        <v>221</v>
      </c>
      <c r="D113" s="90" t="s">
        <v>466</v>
      </c>
      <c r="E113" s="13"/>
      <c r="F113" s="125" t="s">
        <v>170</v>
      </c>
      <c r="G113" s="57" t="s">
        <v>25</v>
      </c>
      <c r="H113" s="128">
        <v>-20.9</v>
      </c>
      <c r="I113" s="112">
        <v>-3.9</v>
      </c>
      <c r="J113" s="72">
        <v>47.180799999999998</v>
      </c>
      <c r="K113" s="70">
        <v>997</v>
      </c>
      <c r="L113" s="30">
        <v>1</v>
      </c>
      <c r="M113" s="14">
        <v>1</v>
      </c>
      <c r="N113" s="33" t="s">
        <v>99</v>
      </c>
      <c r="O113" s="17">
        <v>1</v>
      </c>
      <c r="P113" s="17"/>
      <c r="Q113" s="25"/>
      <c r="R113" s="18"/>
      <c r="S113" s="19"/>
    </row>
    <row r="114" spans="1:19" ht="34.5" customHeight="1" thickBot="1" x14ac:dyDescent="0.45">
      <c r="A114" s="52">
        <v>111</v>
      </c>
      <c r="B114" s="80">
        <v>0</v>
      </c>
      <c r="C114" s="75"/>
      <c r="D114" s="90" t="s">
        <v>222</v>
      </c>
      <c r="E114" s="13"/>
      <c r="F114" s="125" t="s">
        <v>171</v>
      </c>
      <c r="G114" s="57" t="s">
        <v>19</v>
      </c>
      <c r="H114" s="108">
        <v>-10.3</v>
      </c>
      <c r="I114" s="136">
        <v>6.2</v>
      </c>
      <c r="J114" s="72">
        <v>41.86</v>
      </c>
      <c r="K114" s="70">
        <v>1434.5</v>
      </c>
      <c r="L114" s="30">
        <v>1</v>
      </c>
      <c r="M114" s="14">
        <v>1</v>
      </c>
      <c r="N114" s="33" t="s">
        <v>99</v>
      </c>
      <c r="O114" s="17">
        <v>1</v>
      </c>
      <c r="P114" s="17"/>
      <c r="Q114" s="25"/>
      <c r="R114" s="18"/>
      <c r="S114" s="19"/>
    </row>
    <row r="115" spans="1:19" ht="34.5" customHeight="1" thickBot="1" x14ac:dyDescent="0.45">
      <c r="A115" s="52">
        <v>112</v>
      </c>
      <c r="B115" s="80">
        <v>0</v>
      </c>
      <c r="C115" s="75"/>
      <c r="D115" s="90" t="s">
        <v>222</v>
      </c>
      <c r="E115" s="13"/>
      <c r="F115" s="125" t="s">
        <v>172</v>
      </c>
      <c r="G115" s="57" t="s">
        <v>27</v>
      </c>
      <c r="H115" s="109">
        <v>-7.6</v>
      </c>
      <c r="I115" s="116">
        <v>3.6</v>
      </c>
      <c r="J115" s="72">
        <v>32.269399999999997</v>
      </c>
      <c r="K115" s="70">
        <v>4686</v>
      </c>
      <c r="L115" s="30">
        <v>1</v>
      </c>
      <c r="M115" s="14">
        <v>1</v>
      </c>
      <c r="N115" s="33" t="s">
        <v>99</v>
      </c>
      <c r="O115" s="17">
        <v>1</v>
      </c>
      <c r="P115" s="17"/>
      <c r="Q115" s="25"/>
      <c r="R115" s="18"/>
      <c r="S115" s="19"/>
    </row>
    <row r="116" spans="1:19" ht="34.5" customHeight="1" thickBot="1" x14ac:dyDescent="0.45">
      <c r="A116" s="52">
        <v>113</v>
      </c>
      <c r="B116" s="80">
        <v>0</v>
      </c>
      <c r="C116" s="75"/>
      <c r="D116" s="90" t="s">
        <v>222</v>
      </c>
      <c r="E116" s="13"/>
      <c r="F116" s="125" t="s">
        <v>232</v>
      </c>
      <c r="G116" s="57" t="s">
        <v>26</v>
      </c>
      <c r="H116" s="140">
        <v>-13.3</v>
      </c>
      <c r="I116" s="118">
        <v>5</v>
      </c>
      <c r="J116" s="72">
        <v>33.805300000000003</v>
      </c>
      <c r="K116" s="70">
        <v>4415.6000000000004</v>
      </c>
      <c r="L116" s="30">
        <v>1</v>
      </c>
      <c r="M116" s="14">
        <v>1</v>
      </c>
      <c r="N116" s="33" t="s">
        <v>99</v>
      </c>
      <c r="O116" s="17">
        <v>1</v>
      </c>
      <c r="P116" s="17"/>
      <c r="Q116" s="25"/>
      <c r="R116" s="18"/>
      <c r="S116" s="19"/>
    </row>
    <row r="117" spans="1:19" ht="34.5" customHeight="1" thickBot="1" x14ac:dyDescent="0.45">
      <c r="A117" s="52">
        <v>114</v>
      </c>
      <c r="B117" s="80">
        <v>0</v>
      </c>
      <c r="C117" s="75" t="s">
        <v>221</v>
      </c>
      <c r="D117" s="90" t="s">
        <v>222</v>
      </c>
      <c r="E117" s="13"/>
      <c r="F117" s="125" t="s">
        <v>233</v>
      </c>
      <c r="G117" s="57" t="s">
        <v>303</v>
      </c>
      <c r="H117" s="169">
        <v>-14.9</v>
      </c>
      <c r="I117" s="171">
        <v>2.9</v>
      </c>
      <c r="J117" s="72">
        <v>35.215800000000002</v>
      </c>
      <c r="K117" s="70">
        <v>4612</v>
      </c>
      <c r="L117" s="30">
        <v>1</v>
      </c>
      <c r="M117" s="15">
        <v>1</v>
      </c>
      <c r="N117" s="33" t="s">
        <v>99</v>
      </c>
      <c r="O117" s="17">
        <v>1</v>
      </c>
      <c r="P117" s="17"/>
      <c r="Q117" s="25"/>
      <c r="R117" s="18"/>
      <c r="S117" s="19"/>
    </row>
    <row r="118" spans="1:19" ht="34.5" customHeight="1" thickBot="1" x14ac:dyDescent="0.45">
      <c r="A118" s="52">
        <v>115</v>
      </c>
      <c r="B118" s="80">
        <v>0</v>
      </c>
      <c r="C118" s="75" t="s">
        <v>221</v>
      </c>
      <c r="D118" s="90" t="s">
        <v>222</v>
      </c>
      <c r="E118" s="13"/>
      <c r="F118" s="125" t="s">
        <v>234</v>
      </c>
      <c r="G118" s="57" t="s">
        <v>348</v>
      </c>
      <c r="H118" s="112">
        <v>-4</v>
      </c>
      <c r="I118" s="133">
        <v>11.7</v>
      </c>
      <c r="J118" s="72">
        <v>41.804699999999997</v>
      </c>
      <c r="K118" s="70">
        <v>1773.7</v>
      </c>
      <c r="L118" s="30">
        <v>1</v>
      </c>
      <c r="M118" s="14">
        <v>1</v>
      </c>
      <c r="N118" s="33" t="s">
        <v>99</v>
      </c>
      <c r="O118" s="17">
        <v>1</v>
      </c>
      <c r="P118" s="17"/>
      <c r="Q118" s="25"/>
      <c r="R118" s="18"/>
      <c r="S118" s="19"/>
    </row>
    <row r="119" spans="1:19" ht="34.5" customHeight="1" thickBot="1" x14ac:dyDescent="0.45">
      <c r="A119" s="52">
        <v>116</v>
      </c>
      <c r="B119" s="80">
        <v>0</v>
      </c>
      <c r="C119" s="75"/>
      <c r="D119" s="90" t="s">
        <v>222</v>
      </c>
      <c r="E119" s="13"/>
      <c r="F119" s="125" t="s">
        <v>173</v>
      </c>
      <c r="G119" s="57" t="s">
        <v>28</v>
      </c>
      <c r="H119" s="112">
        <v>-4</v>
      </c>
      <c r="I119" s="131">
        <v>8.6999999999999993</v>
      </c>
      <c r="J119" s="72">
        <v>43.594999999999999</v>
      </c>
      <c r="K119" s="69">
        <v>1679.2</v>
      </c>
      <c r="L119" s="30">
        <v>1</v>
      </c>
      <c r="M119" s="15">
        <v>1</v>
      </c>
      <c r="N119" s="33" t="s">
        <v>99</v>
      </c>
      <c r="O119" s="17">
        <v>1</v>
      </c>
      <c r="P119" s="17"/>
      <c r="Q119" s="25"/>
      <c r="R119" s="18"/>
      <c r="S119" s="19"/>
    </row>
    <row r="120" spans="1:19" ht="34.5" customHeight="1" thickBot="1" x14ac:dyDescent="0.45">
      <c r="A120" s="52">
        <v>117</v>
      </c>
      <c r="B120" s="80">
        <v>0</v>
      </c>
      <c r="C120" s="76"/>
      <c r="D120" s="90" t="s">
        <v>222</v>
      </c>
      <c r="E120" s="13"/>
      <c r="F120" s="125" t="s">
        <v>174</v>
      </c>
      <c r="G120" s="57" t="s">
        <v>206</v>
      </c>
      <c r="H120" s="113">
        <v>-2.9</v>
      </c>
      <c r="I120" s="131">
        <v>8.3000000000000007</v>
      </c>
      <c r="J120" s="72">
        <v>46.664999999999999</v>
      </c>
      <c r="K120" s="70">
        <v>1219.0999999999999</v>
      </c>
      <c r="L120" s="30">
        <v>1</v>
      </c>
      <c r="M120" s="15">
        <v>1</v>
      </c>
      <c r="N120" s="33" t="s">
        <v>99</v>
      </c>
      <c r="O120" s="17">
        <v>1</v>
      </c>
      <c r="P120" s="17"/>
      <c r="Q120" s="25"/>
      <c r="R120" s="18"/>
      <c r="S120" s="19"/>
    </row>
    <row r="121" spans="1:19" ht="34.5" customHeight="1" thickBot="1" x14ac:dyDescent="0.45">
      <c r="A121" s="52">
        <v>118</v>
      </c>
      <c r="B121" s="80">
        <v>0</v>
      </c>
      <c r="C121" s="76" t="s">
        <v>221</v>
      </c>
      <c r="D121" s="90"/>
      <c r="E121" s="13"/>
      <c r="F121" s="125" t="s">
        <v>235</v>
      </c>
      <c r="G121" s="57" t="s">
        <v>15</v>
      </c>
      <c r="H121" s="88"/>
      <c r="I121" s="88"/>
      <c r="J121" s="72">
        <v>47.741100000000003</v>
      </c>
      <c r="K121" s="71">
        <v>734.8</v>
      </c>
      <c r="L121" s="30">
        <v>1</v>
      </c>
      <c r="M121" s="14">
        <v>1</v>
      </c>
      <c r="N121" s="33" t="s">
        <v>99</v>
      </c>
      <c r="O121" s="17">
        <v>1</v>
      </c>
      <c r="P121" s="17"/>
      <c r="Q121" s="25"/>
      <c r="R121" s="18"/>
      <c r="S121" s="19"/>
    </row>
    <row r="122" spans="1:19" ht="34.5" customHeight="1" thickBot="1" x14ac:dyDescent="0.45">
      <c r="A122" s="52">
        <v>119</v>
      </c>
      <c r="B122" s="80"/>
      <c r="C122" s="76" t="s">
        <v>221</v>
      </c>
      <c r="D122" s="90"/>
      <c r="E122" s="13"/>
      <c r="F122" s="125" t="s">
        <v>274</v>
      </c>
      <c r="G122" s="57" t="s">
        <v>63</v>
      </c>
      <c r="H122" s="88"/>
      <c r="I122" s="88"/>
      <c r="J122" s="72">
        <v>42.950299999999999</v>
      </c>
      <c r="K122" s="70">
        <v>39</v>
      </c>
      <c r="L122" s="30">
        <v>1</v>
      </c>
      <c r="M122" s="14"/>
      <c r="N122" s="33" t="s">
        <v>99</v>
      </c>
      <c r="O122" s="17"/>
      <c r="P122" s="17"/>
      <c r="Q122" s="25"/>
      <c r="R122" s="18"/>
      <c r="S122" s="19">
        <v>1</v>
      </c>
    </row>
    <row r="123" spans="1:19" ht="34.5" customHeight="1" thickBot="1" x14ac:dyDescent="0.45">
      <c r="A123" s="52">
        <v>120</v>
      </c>
      <c r="B123" s="80">
        <v>0</v>
      </c>
      <c r="C123" s="76" t="s">
        <v>221</v>
      </c>
      <c r="D123" s="122" t="s">
        <v>222</v>
      </c>
      <c r="E123" s="13"/>
      <c r="F123" s="126" t="s">
        <v>275</v>
      </c>
      <c r="G123" s="57" t="s">
        <v>16</v>
      </c>
      <c r="H123" s="170">
        <v>4.3</v>
      </c>
      <c r="I123" s="141">
        <v>10.8</v>
      </c>
      <c r="J123" s="72">
        <v>43.789200000000001</v>
      </c>
      <c r="K123" s="70">
        <v>935</v>
      </c>
      <c r="L123" s="30">
        <v>1</v>
      </c>
      <c r="M123" s="15">
        <v>1</v>
      </c>
      <c r="N123" s="33" t="s">
        <v>99</v>
      </c>
      <c r="O123" s="17">
        <v>1</v>
      </c>
      <c r="P123" s="17"/>
      <c r="Q123" s="25"/>
      <c r="R123" s="18">
        <v>1</v>
      </c>
      <c r="S123" s="19">
        <v>1</v>
      </c>
    </row>
    <row r="124" spans="1:19" ht="34.5" customHeight="1" thickBot="1" x14ac:dyDescent="0.45">
      <c r="A124" s="52">
        <v>121</v>
      </c>
      <c r="B124" s="80">
        <v>0</v>
      </c>
      <c r="C124" s="76" t="s">
        <v>221</v>
      </c>
      <c r="D124" s="90" t="s">
        <v>222</v>
      </c>
      <c r="E124" s="104">
        <v>0</v>
      </c>
      <c r="F124" s="59" t="s">
        <v>236</v>
      </c>
      <c r="G124" s="57" t="s">
        <v>17</v>
      </c>
      <c r="H124" s="138">
        <v>-9.6</v>
      </c>
      <c r="I124" s="117">
        <v>4.8</v>
      </c>
      <c r="J124" s="72">
        <v>43.0336</v>
      </c>
      <c r="K124" s="69">
        <v>2459.1</v>
      </c>
      <c r="L124" s="30">
        <v>1</v>
      </c>
      <c r="M124" s="14">
        <v>1</v>
      </c>
      <c r="N124" s="33" t="s">
        <v>99</v>
      </c>
      <c r="O124" s="17">
        <v>1</v>
      </c>
      <c r="P124" s="17"/>
      <c r="Q124" s="25"/>
      <c r="R124" s="18"/>
      <c r="S124" s="19"/>
    </row>
    <row r="125" spans="1:19" ht="34.5" customHeight="1" thickBot="1" x14ac:dyDescent="0.45">
      <c r="A125" s="52">
        <v>122</v>
      </c>
      <c r="B125" s="80"/>
      <c r="C125" s="76"/>
      <c r="D125" s="91"/>
      <c r="E125" s="13"/>
      <c r="F125" s="125" t="s">
        <v>237</v>
      </c>
      <c r="G125" s="57" t="s">
        <v>29</v>
      </c>
      <c r="H125" s="88"/>
      <c r="I125" s="88"/>
      <c r="J125" s="72">
        <v>43.1417</v>
      </c>
      <c r="K125" s="70">
        <v>1850.8</v>
      </c>
      <c r="L125" s="30">
        <v>1</v>
      </c>
      <c r="M125" s="14"/>
      <c r="N125" s="33" t="s">
        <v>99</v>
      </c>
      <c r="O125" s="17">
        <v>1</v>
      </c>
      <c r="P125" s="17"/>
      <c r="Q125" s="25"/>
      <c r="R125" s="18"/>
      <c r="S125" s="19"/>
    </row>
    <row r="126" spans="1:19" ht="34.5" customHeight="1" thickBot="1" x14ac:dyDescent="0.45">
      <c r="A126" s="52">
        <v>123</v>
      </c>
      <c r="B126" s="80">
        <v>0</v>
      </c>
      <c r="C126" s="76" t="s">
        <v>221</v>
      </c>
      <c r="D126" s="122" t="s">
        <v>222</v>
      </c>
      <c r="E126" s="13"/>
      <c r="F126" s="125" t="s">
        <v>238</v>
      </c>
      <c r="G126" s="57" t="s">
        <v>18</v>
      </c>
      <c r="H126" s="112">
        <v>-3.5</v>
      </c>
      <c r="I126" s="141">
        <v>10.7</v>
      </c>
      <c r="J126" s="72">
        <v>40.855800000000002</v>
      </c>
      <c r="K126" s="70">
        <v>1153.5</v>
      </c>
      <c r="L126" s="30">
        <v>1</v>
      </c>
      <c r="M126" s="15">
        <v>1</v>
      </c>
      <c r="N126" s="33" t="s">
        <v>99</v>
      </c>
      <c r="O126" s="17">
        <v>1</v>
      </c>
      <c r="P126" s="17"/>
      <c r="Q126" s="25"/>
      <c r="R126" s="18">
        <v>1</v>
      </c>
      <c r="S126" s="19">
        <v>1</v>
      </c>
    </row>
    <row r="127" spans="1:19" ht="34.5" customHeight="1" thickBot="1" x14ac:dyDescent="0.45">
      <c r="A127" s="52">
        <v>124</v>
      </c>
      <c r="B127" s="80"/>
      <c r="C127" s="76" t="s">
        <v>221</v>
      </c>
      <c r="D127" s="122"/>
      <c r="E127" s="13"/>
      <c r="F127" s="125" t="s">
        <v>229</v>
      </c>
      <c r="G127" s="57" t="s">
        <v>64</v>
      </c>
      <c r="H127" s="88"/>
      <c r="I127" s="88"/>
      <c r="J127" s="72">
        <v>39.806100000000001</v>
      </c>
      <c r="K127" s="70">
        <v>32.799999999999997</v>
      </c>
      <c r="L127" s="30">
        <v>1</v>
      </c>
      <c r="M127" s="14"/>
      <c r="N127" s="33" t="s">
        <v>99</v>
      </c>
      <c r="O127" s="17"/>
      <c r="P127" s="17"/>
      <c r="Q127" s="25"/>
      <c r="R127" s="18">
        <v>1</v>
      </c>
      <c r="S127" s="19">
        <v>1</v>
      </c>
    </row>
    <row r="128" spans="1:19" ht="34.5" customHeight="1" thickBot="1" x14ac:dyDescent="0.45">
      <c r="A128" s="52">
        <v>125</v>
      </c>
      <c r="B128" s="80"/>
      <c r="C128" s="76"/>
      <c r="D128" s="122"/>
      <c r="E128" s="13"/>
      <c r="F128" s="125" t="s">
        <v>239</v>
      </c>
      <c r="G128" s="57" t="s">
        <v>93</v>
      </c>
      <c r="H128" s="88"/>
      <c r="I128" s="88"/>
      <c r="J128" s="72">
        <v>39.0747</v>
      </c>
      <c r="K128" s="70">
        <v>2.2000000000000002</v>
      </c>
      <c r="L128" s="30">
        <v>1</v>
      </c>
      <c r="M128" s="14"/>
      <c r="N128" s="33" t="s">
        <v>99</v>
      </c>
      <c r="O128" s="17"/>
      <c r="P128" s="17"/>
      <c r="Q128" s="25"/>
      <c r="R128" s="18">
        <v>1</v>
      </c>
      <c r="S128" s="19">
        <v>1</v>
      </c>
    </row>
    <row r="129" spans="1:19" ht="34.5" customHeight="1" thickBot="1" x14ac:dyDescent="0.45">
      <c r="A129" s="52">
        <v>126</v>
      </c>
      <c r="B129" s="80"/>
      <c r="C129" s="76" t="s">
        <v>221</v>
      </c>
      <c r="D129" s="122"/>
      <c r="E129" s="13"/>
      <c r="F129" s="125" t="s">
        <v>276</v>
      </c>
      <c r="G129" s="57" t="s">
        <v>65</v>
      </c>
      <c r="H129" s="88"/>
      <c r="I129" s="88"/>
      <c r="J129" s="72">
        <v>38.471400000000003</v>
      </c>
      <c r="K129" s="69">
        <v>1111.5999999999999</v>
      </c>
      <c r="L129" s="30">
        <v>1</v>
      </c>
      <c r="M129" s="14"/>
      <c r="N129" s="33" t="s">
        <v>99</v>
      </c>
      <c r="O129" s="17"/>
      <c r="P129" s="17"/>
      <c r="Q129" s="25"/>
      <c r="R129" s="18">
        <v>1</v>
      </c>
      <c r="S129" s="19">
        <v>1</v>
      </c>
    </row>
    <row r="130" spans="1:19" ht="34.5" customHeight="1" thickBot="1" x14ac:dyDescent="0.45">
      <c r="A130" s="52">
        <v>127</v>
      </c>
      <c r="B130" s="80"/>
      <c r="C130" s="76" t="s">
        <v>221</v>
      </c>
      <c r="D130" s="123"/>
      <c r="E130" s="13"/>
      <c r="F130" s="125" t="s">
        <v>277</v>
      </c>
      <c r="G130" s="57" t="s">
        <v>66</v>
      </c>
      <c r="H130" s="88"/>
      <c r="I130" s="88"/>
      <c r="J130" s="72">
        <v>38.0197</v>
      </c>
      <c r="K130" s="70">
        <v>89.3</v>
      </c>
      <c r="L130" s="30">
        <v>1</v>
      </c>
      <c r="M130" s="14"/>
      <c r="N130" s="33" t="s">
        <v>99</v>
      </c>
      <c r="O130" s="17"/>
      <c r="P130" s="17"/>
      <c r="Q130" s="25"/>
      <c r="R130" s="18">
        <v>1</v>
      </c>
      <c r="S130" s="19">
        <v>1</v>
      </c>
    </row>
    <row r="131" spans="1:19" ht="34.5" customHeight="1" thickBot="1" x14ac:dyDescent="0.45">
      <c r="A131" s="52">
        <v>128</v>
      </c>
      <c r="B131" s="80"/>
      <c r="C131" s="76" t="s">
        <v>221</v>
      </c>
      <c r="D131" s="123"/>
      <c r="E131" s="13"/>
      <c r="F131" s="125" t="s">
        <v>278</v>
      </c>
      <c r="G131" s="57" t="s">
        <v>67</v>
      </c>
      <c r="H131" s="88"/>
      <c r="I131" s="88"/>
      <c r="J131" s="72">
        <v>37.620600000000003</v>
      </c>
      <c r="K131" s="69">
        <v>776.3</v>
      </c>
      <c r="L131" s="30">
        <v>1</v>
      </c>
      <c r="M131" s="14"/>
      <c r="N131" s="33" t="s">
        <v>99</v>
      </c>
      <c r="O131" s="17"/>
      <c r="P131" s="17"/>
      <c r="Q131" s="25"/>
      <c r="R131" s="18">
        <v>1</v>
      </c>
      <c r="S131" s="19">
        <v>1</v>
      </c>
    </row>
    <row r="132" spans="1:19" ht="34.5" customHeight="1" thickBot="1" x14ac:dyDescent="0.45">
      <c r="A132" s="52">
        <v>129</v>
      </c>
      <c r="B132" s="80"/>
      <c r="C132" s="76" t="s">
        <v>221</v>
      </c>
      <c r="D132" s="123"/>
      <c r="E132" s="13"/>
      <c r="F132" s="125" t="s">
        <v>240</v>
      </c>
      <c r="G132" s="57" t="s">
        <v>68</v>
      </c>
      <c r="H132" s="88"/>
      <c r="I132" s="88"/>
      <c r="J132" s="72">
        <v>36.664400000000001</v>
      </c>
      <c r="K132" s="70">
        <v>2434.1999999999998</v>
      </c>
      <c r="L132" s="30">
        <v>1</v>
      </c>
      <c r="M132" s="14"/>
      <c r="N132" s="33" t="s">
        <v>99</v>
      </c>
      <c r="O132" s="17"/>
      <c r="P132" s="17"/>
      <c r="Q132" s="25"/>
      <c r="R132" s="18">
        <v>1</v>
      </c>
      <c r="S132" s="19">
        <v>1</v>
      </c>
    </row>
    <row r="133" spans="1:19" ht="34.5" customHeight="1" thickBot="1" x14ac:dyDescent="0.45">
      <c r="A133" s="52">
        <v>130</v>
      </c>
      <c r="B133" s="80"/>
      <c r="C133" s="76" t="s">
        <v>221</v>
      </c>
      <c r="D133" s="123"/>
      <c r="E133" s="13"/>
      <c r="F133" s="125" t="s">
        <v>241</v>
      </c>
      <c r="G133" s="57" t="s">
        <v>69</v>
      </c>
      <c r="H133" s="88"/>
      <c r="I133" s="88"/>
      <c r="J133" s="72">
        <v>36.601900000000001</v>
      </c>
      <c r="K133" s="70">
        <v>170.3</v>
      </c>
      <c r="L133" s="30">
        <v>1</v>
      </c>
      <c r="M133" s="14"/>
      <c r="N133" s="33" t="s">
        <v>99</v>
      </c>
      <c r="O133" s="17"/>
      <c r="P133" s="17"/>
      <c r="Q133" s="25"/>
      <c r="R133" s="18">
        <v>1</v>
      </c>
      <c r="S133" s="19">
        <v>1</v>
      </c>
    </row>
    <row r="134" spans="1:19" ht="34.5" customHeight="1" thickBot="1" x14ac:dyDescent="0.45">
      <c r="A134" s="52">
        <v>131</v>
      </c>
      <c r="B134" s="80"/>
      <c r="C134" s="76" t="s">
        <v>221</v>
      </c>
      <c r="D134" s="123"/>
      <c r="E134" s="13"/>
      <c r="F134" s="125" t="s">
        <v>242</v>
      </c>
      <c r="G134" s="57" t="s">
        <v>70</v>
      </c>
      <c r="H134" s="88"/>
      <c r="I134" s="88"/>
      <c r="J134" s="72">
        <v>34.706400000000002</v>
      </c>
      <c r="K134" s="70">
        <v>110.4</v>
      </c>
      <c r="L134" s="30">
        <v>1</v>
      </c>
      <c r="M134" s="14"/>
      <c r="N134" s="33" t="s">
        <v>99</v>
      </c>
      <c r="O134" s="17"/>
      <c r="P134" s="17"/>
      <c r="Q134" s="25"/>
      <c r="R134" s="18">
        <v>1</v>
      </c>
      <c r="S134" s="19">
        <v>1</v>
      </c>
    </row>
    <row r="135" spans="1:19" ht="34.5" customHeight="1" thickBot="1" x14ac:dyDescent="0.45">
      <c r="A135" s="52">
        <v>132</v>
      </c>
      <c r="B135" s="80"/>
      <c r="C135" s="76" t="s">
        <v>221</v>
      </c>
      <c r="D135" s="123"/>
      <c r="E135" s="13"/>
      <c r="F135" s="125" t="s">
        <v>243</v>
      </c>
      <c r="G135" s="57" t="s">
        <v>103</v>
      </c>
      <c r="H135" s="88"/>
      <c r="I135" s="88"/>
      <c r="J135" s="72">
        <v>34.433300000000003</v>
      </c>
      <c r="K135" s="69">
        <v>410</v>
      </c>
      <c r="L135" s="30">
        <v>1</v>
      </c>
      <c r="M135" s="14"/>
      <c r="N135" s="33" t="s">
        <v>99</v>
      </c>
      <c r="O135" s="17"/>
      <c r="P135" s="17"/>
      <c r="Q135" s="25"/>
      <c r="R135" s="18">
        <v>1</v>
      </c>
      <c r="S135" s="19">
        <v>1</v>
      </c>
    </row>
    <row r="136" spans="1:19" ht="34.5" customHeight="1" thickBot="1" x14ac:dyDescent="0.45">
      <c r="A136" s="52">
        <v>133</v>
      </c>
      <c r="B136" s="80"/>
      <c r="C136" s="76" t="s">
        <v>221</v>
      </c>
      <c r="D136" s="93"/>
      <c r="E136" s="13"/>
      <c r="F136" s="125" t="s">
        <v>244</v>
      </c>
      <c r="G136" s="57" t="s">
        <v>71</v>
      </c>
      <c r="H136" s="88"/>
      <c r="I136" s="88"/>
      <c r="J136" s="72">
        <v>32.693100000000001</v>
      </c>
      <c r="K136" s="70">
        <v>290.8</v>
      </c>
      <c r="L136" s="30">
        <v>1</v>
      </c>
      <c r="M136" s="14"/>
      <c r="N136" s="33" t="s">
        <v>99</v>
      </c>
      <c r="O136" s="17"/>
      <c r="P136" s="17"/>
      <c r="Q136" s="25"/>
      <c r="R136" s="18"/>
      <c r="S136" s="19">
        <v>1</v>
      </c>
    </row>
    <row r="137" spans="1:19" ht="34.5" customHeight="1" thickBot="1" x14ac:dyDescent="0.45">
      <c r="A137" s="52">
        <v>134</v>
      </c>
      <c r="B137" s="80"/>
      <c r="C137" s="76" t="s">
        <v>221</v>
      </c>
      <c r="D137" s="123"/>
      <c r="E137" s="13"/>
      <c r="F137" s="125" t="s">
        <v>245</v>
      </c>
      <c r="G137" s="57" t="s">
        <v>72</v>
      </c>
      <c r="H137" s="88"/>
      <c r="I137" s="88"/>
      <c r="J137" s="72">
        <v>28.108599999999999</v>
      </c>
      <c r="K137" s="70">
        <v>114</v>
      </c>
      <c r="L137" s="30">
        <v>1</v>
      </c>
      <c r="M137" s="14"/>
      <c r="N137" s="33" t="s">
        <v>99</v>
      </c>
      <c r="O137" s="17"/>
      <c r="P137" s="17"/>
      <c r="Q137" s="25"/>
      <c r="R137" s="18">
        <v>1</v>
      </c>
      <c r="S137" s="19">
        <v>1</v>
      </c>
    </row>
    <row r="138" spans="1:19" ht="34.5" customHeight="1" thickBot="1" x14ac:dyDescent="0.45">
      <c r="A138" s="52">
        <v>135</v>
      </c>
      <c r="B138" s="80"/>
      <c r="C138" s="76" t="s">
        <v>221</v>
      </c>
      <c r="D138" s="123"/>
      <c r="E138" s="13"/>
      <c r="F138" s="125" t="s">
        <v>246</v>
      </c>
      <c r="G138" s="57" t="s">
        <v>73</v>
      </c>
      <c r="H138" s="88"/>
      <c r="I138" s="88"/>
      <c r="J138" s="72">
        <v>28.59</v>
      </c>
      <c r="K138" s="70">
        <v>47.2</v>
      </c>
      <c r="L138" s="30">
        <v>1</v>
      </c>
      <c r="M138" s="14"/>
      <c r="N138" s="33" t="s">
        <v>99</v>
      </c>
      <c r="O138" s="17"/>
      <c r="P138" s="17"/>
      <c r="Q138" s="25"/>
      <c r="R138" s="18">
        <v>1</v>
      </c>
      <c r="S138" s="19">
        <v>1</v>
      </c>
    </row>
    <row r="139" spans="1:19" ht="34.5" customHeight="1" thickBot="1" x14ac:dyDescent="0.45">
      <c r="A139" s="52">
        <v>136</v>
      </c>
      <c r="B139" s="80"/>
      <c r="C139" s="76" t="s">
        <v>221</v>
      </c>
      <c r="D139" s="123"/>
      <c r="E139" s="13"/>
      <c r="F139" s="125" t="s">
        <v>247</v>
      </c>
      <c r="G139" s="57" t="s">
        <v>74</v>
      </c>
      <c r="H139" s="88"/>
      <c r="I139" s="88"/>
      <c r="J139" s="72">
        <v>30.597799999999999</v>
      </c>
      <c r="K139" s="70">
        <v>23.6</v>
      </c>
      <c r="L139" s="30">
        <v>1</v>
      </c>
      <c r="M139" s="14"/>
      <c r="N139" s="33" t="s">
        <v>99</v>
      </c>
      <c r="O139" s="17"/>
      <c r="P139" s="17"/>
      <c r="Q139" s="25"/>
      <c r="R139" s="18">
        <v>1</v>
      </c>
      <c r="S139" s="19">
        <v>1</v>
      </c>
    </row>
    <row r="140" spans="1:19" ht="34.5" customHeight="1" thickBot="1" x14ac:dyDescent="0.45">
      <c r="A140" s="52">
        <v>137</v>
      </c>
      <c r="B140" s="80"/>
      <c r="C140" s="76" t="s">
        <v>221</v>
      </c>
      <c r="D140" s="123"/>
      <c r="E140" s="13"/>
      <c r="F140" s="125" t="s">
        <v>248</v>
      </c>
      <c r="G140" s="57" t="s">
        <v>75</v>
      </c>
      <c r="H140" s="88"/>
      <c r="I140" s="88"/>
      <c r="J140" s="72">
        <v>31.9556</v>
      </c>
      <c r="K140" s="70">
        <v>49.8</v>
      </c>
      <c r="L140" s="30">
        <v>1</v>
      </c>
      <c r="M140" s="14"/>
      <c r="N140" s="33" t="s">
        <v>99</v>
      </c>
      <c r="O140" s="17"/>
      <c r="P140" s="17"/>
      <c r="Q140" s="25"/>
      <c r="R140" s="18">
        <v>1</v>
      </c>
      <c r="S140" s="19">
        <v>1</v>
      </c>
    </row>
    <row r="141" spans="1:19" ht="34.5" customHeight="1" thickBot="1" x14ac:dyDescent="0.45">
      <c r="A141" s="52">
        <v>138</v>
      </c>
      <c r="B141" s="80"/>
      <c r="C141" s="76" t="s">
        <v>221</v>
      </c>
      <c r="D141" s="123"/>
      <c r="E141" s="13"/>
      <c r="F141" s="125" t="s">
        <v>249</v>
      </c>
      <c r="G141" s="57" t="s">
        <v>76</v>
      </c>
      <c r="H141" s="88"/>
      <c r="I141" s="88"/>
      <c r="J141" s="72">
        <v>31.931699999999999</v>
      </c>
      <c r="K141" s="70">
        <v>33.200000000000003</v>
      </c>
      <c r="L141" s="30">
        <v>1</v>
      </c>
      <c r="M141" s="14"/>
      <c r="N141" s="33" t="s">
        <v>99</v>
      </c>
      <c r="O141" s="17"/>
      <c r="P141" s="17"/>
      <c r="Q141" s="25"/>
      <c r="R141" s="18">
        <v>1</v>
      </c>
      <c r="S141" s="19">
        <v>1</v>
      </c>
    </row>
    <row r="142" spans="1:19" ht="34.5" customHeight="1" thickBot="1" x14ac:dyDescent="0.45">
      <c r="A142" s="52">
        <v>139</v>
      </c>
      <c r="B142" s="80"/>
      <c r="C142" s="76" t="s">
        <v>221</v>
      </c>
      <c r="D142" s="123"/>
      <c r="E142" s="13"/>
      <c r="F142" s="125" t="s">
        <v>250</v>
      </c>
      <c r="G142" s="57" t="s">
        <v>77</v>
      </c>
      <c r="H142" s="88"/>
      <c r="I142" s="88"/>
      <c r="J142" s="72">
        <v>30.2258</v>
      </c>
      <c r="K142" s="70">
        <v>42.1</v>
      </c>
      <c r="L142" s="30">
        <v>1</v>
      </c>
      <c r="M142" s="14"/>
      <c r="N142" s="33" t="s">
        <v>99</v>
      </c>
      <c r="O142" s="17"/>
      <c r="P142" s="17"/>
      <c r="Q142" s="25"/>
      <c r="R142" s="18">
        <v>1</v>
      </c>
      <c r="S142" s="19">
        <v>1</v>
      </c>
    </row>
    <row r="143" spans="1:19" ht="34.5" customHeight="1" thickBot="1" x14ac:dyDescent="0.45">
      <c r="A143" s="52">
        <v>140</v>
      </c>
      <c r="B143" s="80"/>
      <c r="C143" s="76" t="s">
        <v>221</v>
      </c>
      <c r="D143" s="93"/>
      <c r="E143" s="13"/>
      <c r="F143" s="125" t="s">
        <v>251</v>
      </c>
      <c r="G143" s="57" t="s">
        <v>78</v>
      </c>
      <c r="H143" s="88"/>
      <c r="I143" s="88"/>
      <c r="J143" s="72">
        <v>28.394400000000001</v>
      </c>
      <c r="K143" s="70">
        <v>144.5</v>
      </c>
      <c r="L143" s="30">
        <v>1</v>
      </c>
      <c r="M143" s="14"/>
      <c r="N143" s="33" t="s">
        <v>99</v>
      </c>
      <c r="O143" s="17"/>
      <c r="P143" s="17"/>
      <c r="Q143" s="25"/>
      <c r="R143" s="18"/>
      <c r="S143" s="19">
        <v>1</v>
      </c>
    </row>
    <row r="144" spans="1:19" ht="34.5" customHeight="1" thickBot="1" x14ac:dyDescent="0.45">
      <c r="A144" s="52">
        <v>141</v>
      </c>
      <c r="B144" s="80"/>
      <c r="C144" s="76" t="s">
        <v>221</v>
      </c>
      <c r="D144" s="123"/>
      <c r="E144" s="13"/>
      <c r="F144" s="125" t="s">
        <v>252</v>
      </c>
      <c r="G144" s="57" t="s">
        <v>79</v>
      </c>
      <c r="H144" s="88"/>
      <c r="I144" s="88"/>
      <c r="J144" s="72">
        <v>26.077500000000001</v>
      </c>
      <c r="K144" s="70">
        <v>84.1</v>
      </c>
      <c r="L144" s="30">
        <v>1</v>
      </c>
      <c r="M144" s="14"/>
      <c r="N144" s="33" t="s">
        <v>99</v>
      </c>
      <c r="O144" s="17"/>
      <c r="P144" s="17"/>
      <c r="Q144" s="25"/>
      <c r="R144" s="18">
        <v>1</v>
      </c>
      <c r="S144" s="19">
        <v>1</v>
      </c>
    </row>
    <row r="145" spans="1:19" ht="34.5" customHeight="1" thickBot="1" x14ac:dyDescent="0.45">
      <c r="A145" s="52">
        <v>142</v>
      </c>
      <c r="B145" s="80"/>
      <c r="C145" s="76" t="s">
        <v>221</v>
      </c>
      <c r="D145" s="123"/>
      <c r="E145" s="13"/>
      <c r="F145" s="125" t="s">
        <v>253</v>
      </c>
      <c r="G145" s="57" t="s">
        <v>80</v>
      </c>
      <c r="H145" s="88"/>
      <c r="I145" s="88"/>
      <c r="J145" s="72">
        <v>23.21</v>
      </c>
      <c r="K145" s="70">
        <v>70.7</v>
      </c>
      <c r="L145" s="30">
        <v>1</v>
      </c>
      <c r="M145" s="14"/>
      <c r="N145" s="33" t="s">
        <v>99</v>
      </c>
      <c r="O145" s="17"/>
      <c r="P145" s="17"/>
      <c r="Q145" s="25"/>
      <c r="R145" s="18">
        <v>1</v>
      </c>
      <c r="S145" s="19">
        <v>1</v>
      </c>
    </row>
    <row r="146" spans="1:19" ht="34.5" customHeight="1" thickBot="1" x14ac:dyDescent="0.45">
      <c r="A146" s="52">
        <v>143</v>
      </c>
      <c r="B146" s="80"/>
      <c r="C146" s="76" t="s">
        <v>221</v>
      </c>
      <c r="D146" s="124"/>
      <c r="E146" s="13"/>
      <c r="F146" s="125" t="s">
        <v>254</v>
      </c>
      <c r="G146" s="57" t="s">
        <v>207</v>
      </c>
      <c r="H146" s="88"/>
      <c r="I146" s="88"/>
      <c r="J146" s="72">
        <v>19.9939</v>
      </c>
      <c r="K146" s="70">
        <v>63.5</v>
      </c>
      <c r="L146" s="30">
        <v>1</v>
      </c>
      <c r="M146" s="14"/>
      <c r="N146" s="33" t="s">
        <v>99</v>
      </c>
      <c r="O146" s="17"/>
      <c r="P146" s="17"/>
      <c r="Q146" s="25"/>
      <c r="R146" s="18">
        <v>1</v>
      </c>
      <c r="S146" s="19"/>
    </row>
    <row r="147" spans="1:19" ht="34.5" customHeight="1" thickBot="1" x14ac:dyDescent="0.45">
      <c r="A147" s="52">
        <v>144</v>
      </c>
      <c r="B147" s="80"/>
      <c r="C147" s="76" t="s">
        <v>221</v>
      </c>
      <c r="D147" s="93"/>
      <c r="E147" s="13"/>
      <c r="F147" s="125" t="s">
        <v>255</v>
      </c>
      <c r="G147" s="57" t="s">
        <v>81</v>
      </c>
      <c r="H147" s="88"/>
      <c r="I147" s="88"/>
      <c r="J147" s="72">
        <v>18.216699999999999</v>
      </c>
      <c r="K147" s="70">
        <v>419.4</v>
      </c>
      <c r="L147" s="30">
        <v>1</v>
      </c>
      <c r="M147" s="14"/>
      <c r="N147" s="33" t="s">
        <v>99</v>
      </c>
      <c r="O147" s="17"/>
      <c r="P147" s="17"/>
      <c r="Q147" s="25"/>
      <c r="R147" s="18"/>
      <c r="S147" s="19">
        <v>1</v>
      </c>
    </row>
    <row r="148" spans="1:19" ht="34.5" customHeight="1" thickBot="1" x14ac:dyDescent="0.45">
      <c r="A148" s="52">
        <v>145</v>
      </c>
      <c r="B148" s="80"/>
      <c r="C148" s="76" t="s">
        <v>221</v>
      </c>
      <c r="D148" s="93"/>
      <c r="E148" s="13"/>
      <c r="F148" s="125" t="s">
        <v>254</v>
      </c>
      <c r="G148" s="57" t="s">
        <v>82</v>
      </c>
      <c r="H148" s="88"/>
      <c r="I148" s="88"/>
      <c r="J148" s="72">
        <v>19.094200000000001</v>
      </c>
      <c r="K148" s="70">
        <v>6.1</v>
      </c>
      <c r="L148" s="30">
        <v>1</v>
      </c>
      <c r="M148" s="14"/>
      <c r="N148" s="33" t="s">
        <v>99</v>
      </c>
      <c r="O148" s="17"/>
      <c r="P148" s="17"/>
      <c r="Q148" s="25"/>
      <c r="R148" s="18"/>
      <c r="S148" s="19">
        <v>1</v>
      </c>
    </row>
    <row r="149" spans="1:19" ht="34.5" customHeight="1" thickBot="1" x14ac:dyDescent="0.45">
      <c r="A149" s="52">
        <v>146</v>
      </c>
      <c r="B149" s="80"/>
      <c r="C149" s="76" t="s">
        <v>221</v>
      </c>
      <c r="D149" s="123"/>
      <c r="E149" s="13"/>
      <c r="F149" s="125" t="s">
        <v>256</v>
      </c>
      <c r="G149" s="57" t="s">
        <v>83</v>
      </c>
      <c r="H149" s="88"/>
      <c r="I149" s="88"/>
      <c r="J149" s="72">
        <v>22.783899999999999</v>
      </c>
      <c r="K149" s="69">
        <v>152.1</v>
      </c>
      <c r="L149" s="30">
        <v>1</v>
      </c>
      <c r="M149" s="14"/>
      <c r="N149" s="33" t="s">
        <v>99</v>
      </c>
      <c r="O149" s="17"/>
      <c r="P149" s="17"/>
      <c r="Q149" s="25"/>
      <c r="R149" s="18">
        <v>1</v>
      </c>
      <c r="S149" s="19">
        <v>1</v>
      </c>
    </row>
    <row r="150" spans="1:19" ht="34.5" customHeight="1" thickBot="1" x14ac:dyDescent="0.45">
      <c r="A150" s="52">
        <v>147</v>
      </c>
      <c r="B150" s="80"/>
      <c r="C150" s="76" t="s">
        <v>221</v>
      </c>
      <c r="D150" s="93"/>
      <c r="E150" s="13"/>
      <c r="F150" s="125" t="s">
        <v>175</v>
      </c>
      <c r="G150" s="57" t="s">
        <v>84</v>
      </c>
      <c r="H150" s="88"/>
      <c r="I150" s="88"/>
      <c r="J150" s="72">
        <v>23.632200000000001</v>
      </c>
      <c r="K150" s="70">
        <v>506.8</v>
      </c>
      <c r="L150" s="30">
        <v>1</v>
      </c>
      <c r="M150" s="14"/>
      <c r="N150" s="33" t="s">
        <v>99</v>
      </c>
      <c r="O150" s="17"/>
      <c r="P150" s="17"/>
      <c r="Q150" s="25"/>
      <c r="R150" s="18"/>
      <c r="S150" s="19">
        <v>1</v>
      </c>
    </row>
    <row r="151" spans="1:19" ht="34.5" customHeight="1" thickBot="1" x14ac:dyDescent="0.45">
      <c r="A151" s="52">
        <v>148</v>
      </c>
      <c r="B151" s="80"/>
      <c r="C151" s="76" t="s">
        <v>221</v>
      </c>
      <c r="D151" s="123"/>
      <c r="E151" s="13"/>
      <c r="F151" s="125" t="s">
        <v>257</v>
      </c>
      <c r="G151" s="57" t="s">
        <v>85</v>
      </c>
      <c r="H151" s="88"/>
      <c r="I151" s="88"/>
      <c r="J151" s="72">
        <v>25.0078</v>
      </c>
      <c r="K151" s="70">
        <v>1888.1</v>
      </c>
      <c r="L151" s="30">
        <v>1</v>
      </c>
      <c r="M151" s="14"/>
      <c r="N151" s="33" t="s">
        <v>99</v>
      </c>
      <c r="O151" s="17"/>
      <c r="P151" s="17"/>
      <c r="Q151" s="25"/>
      <c r="R151" s="18">
        <v>1</v>
      </c>
      <c r="S151" s="19">
        <v>1</v>
      </c>
    </row>
    <row r="152" spans="1:19" ht="34.5" customHeight="1" thickBot="1" x14ac:dyDescent="0.45">
      <c r="A152" s="52">
        <v>149</v>
      </c>
      <c r="B152" s="80"/>
      <c r="C152" s="76" t="s">
        <v>221</v>
      </c>
      <c r="D152" s="123"/>
      <c r="E152" s="13"/>
      <c r="F152" s="125" t="s">
        <v>258</v>
      </c>
      <c r="G152" s="57" t="s">
        <v>86</v>
      </c>
      <c r="H152" s="88"/>
      <c r="I152" s="88"/>
      <c r="J152" s="72">
        <v>26.589700000000001</v>
      </c>
      <c r="K152" s="70">
        <v>1227.3</v>
      </c>
      <c r="L152" s="30">
        <v>1</v>
      </c>
      <c r="M152" s="14"/>
      <c r="N152" s="33" t="s">
        <v>99</v>
      </c>
      <c r="O152" s="17"/>
      <c r="P152" s="17"/>
      <c r="Q152" s="25"/>
      <c r="R152" s="18">
        <v>1</v>
      </c>
      <c r="S152" s="19">
        <v>1</v>
      </c>
    </row>
    <row r="153" spans="1:19" ht="34.5" customHeight="1" thickBot="1" x14ac:dyDescent="0.45">
      <c r="A153" s="52">
        <v>150</v>
      </c>
      <c r="B153" s="80"/>
      <c r="C153" s="76" t="s">
        <v>221</v>
      </c>
      <c r="D153" s="123"/>
      <c r="E153" s="13"/>
      <c r="F153" s="125" t="s">
        <v>259</v>
      </c>
      <c r="G153" s="57" t="s">
        <v>94</v>
      </c>
      <c r="H153" s="88"/>
      <c r="I153" s="88"/>
      <c r="J153" s="72">
        <v>29.604700000000001</v>
      </c>
      <c r="K153" s="69">
        <v>260</v>
      </c>
      <c r="L153" s="30">
        <v>1</v>
      </c>
      <c r="M153" s="14"/>
      <c r="N153" s="33" t="s">
        <v>99</v>
      </c>
      <c r="O153" s="17"/>
      <c r="P153" s="17"/>
      <c r="Q153" s="25"/>
      <c r="R153" s="18">
        <v>1</v>
      </c>
      <c r="S153" s="19">
        <v>1</v>
      </c>
    </row>
    <row r="154" spans="1:19" ht="34.5" customHeight="1" thickBot="1" x14ac:dyDescent="0.45">
      <c r="A154" s="52">
        <v>151</v>
      </c>
      <c r="B154" s="80"/>
      <c r="C154" s="76"/>
      <c r="D154" s="93"/>
      <c r="E154" s="13"/>
      <c r="F154" s="125" t="s">
        <v>176</v>
      </c>
      <c r="G154" s="57" t="s">
        <v>208</v>
      </c>
      <c r="H154" s="88"/>
      <c r="I154" s="88"/>
      <c r="J154" s="72">
        <v>30.856400000000001</v>
      </c>
      <c r="K154" s="70">
        <v>305.7</v>
      </c>
      <c r="L154" s="30">
        <v>1</v>
      </c>
      <c r="M154" s="14"/>
      <c r="N154" s="33" t="s">
        <v>99</v>
      </c>
      <c r="O154" s="17"/>
      <c r="P154" s="17"/>
      <c r="Q154" s="25"/>
      <c r="R154" s="18"/>
      <c r="S154" s="19">
        <v>1</v>
      </c>
    </row>
    <row r="155" spans="1:19" ht="34.5" customHeight="1" thickBot="1" x14ac:dyDescent="0.45">
      <c r="A155" s="52">
        <v>152</v>
      </c>
      <c r="B155" s="80"/>
      <c r="C155" s="76" t="s">
        <v>221</v>
      </c>
      <c r="D155" s="123"/>
      <c r="E155" s="13"/>
      <c r="F155" s="125" t="s">
        <v>260</v>
      </c>
      <c r="G155" s="57" t="s">
        <v>95</v>
      </c>
      <c r="H155" s="88"/>
      <c r="I155" s="88"/>
      <c r="J155" s="72">
        <v>30.748899999999999</v>
      </c>
      <c r="K155" s="70">
        <v>547.70000000000005</v>
      </c>
      <c r="L155" s="30">
        <v>1</v>
      </c>
      <c r="M155" s="14"/>
      <c r="N155" s="33" t="s">
        <v>99</v>
      </c>
      <c r="O155" s="17"/>
      <c r="P155" s="17"/>
      <c r="Q155" s="25"/>
      <c r="R155" s="18">
        <v>1</v>
      </c>
      <c r="S155" s="19">
        <v>1</v>
      </c>
    </row>
    <row r="156" spans="1:19" ht="34.5" customHeight="1" thickBot="1" x14ac:dyDescent="0.45">
      <c r="A156" s="52">
        <v>153</v>
      </c>
      <c r="B156" s="80"/>
      <c r="C156" s="76" t="s">
        <v>221</v>
      </c>
      <c r="D156" s="123"/>
      <c r="E156" s="13"/>
      <c r="F156" s="125" t="s">
        <v>261</v>
      </c>
      <c r="G156" s="57" t="s">
        <v>87</v>
      </c>
      <c r="H156" s="88"/>
      <c r="I156" s="88"/>
      <c r="J156" s="72">
        <v>29.6586</v>
      </c>
      <c r="K156" s="70">
        <v>3648.7</v>
      </c>
      <c r="L156" s="30">
        <v>1</v>
      </c>
      <c r="M156" s="14"/>
      <c r="N156" s="33" t="s">
        <v>99</v>
      </c>
      <c r="O156" s="17"/>
      <c r="P156" s="17"/>
      <c r="Q156" s="25"/>
      <c r="R156" s="18">
        <v>1</v>
      </c>
      <c r="S156" s="19">
        <v>1</v>
      </c>
    </row>
    <row r="157" spans="1:19" ht="34.5" customHeight="1" thickBot="1" x14ac:dyDescent="0.45">
      <c r="A157" s="52">
        <v>154</v>
      </c>
      <c r="B157" s="80"/>
      <c r="C157" s="76"/>
      <c r="D157" s="93"/>
      <c r="E157" s="13"/>
      <c r="F157" s="125" t="s">
        <v>177</v>
      </c>
      <c r="G157" s="57" t="s">
        <v>31</v>
      </c>
      <c r="H157" s="88"/>
      <c r="I157" s="88"/>
      <c r="J157" s="72">
        <v>41.956899999999997</v>
      </c>
      <c r="K157" s="70">
        <v>939</v>
      </c>
      <c r="L157" s="30">
        <v>1</v>
      </c>
      <c r="M157" s="14"/>
      <c r="N157" s="33" t="s">
        <v>99</v>
      </c>
      <c r="O157" s="17"/>
      <c r="P157" s="17"/>
      <c r="Q157" s="25"/>
      <c r="R157" s="18"/>
      <c r="S157" s="19">
        <v>1</v>
      </c>
    </row>
    <row r="158" spans="1:19" ht="34.5" customHeight="1" thickBot="1" x14ac:dyDescent="0.45">
      <c r="A158" s="52">
        <v>155</v>
      </c>
      <c r="B158" s="80">
        <v>0</v>
      </c>
      <c r="C158" s="76"/>
      <c r="D158" s="93" t="s">
        <v>222</v>
      </c>
      <c r="E158" s="13"/>
      <c r="F158" s="125" t="s">
        <v>178</v>
      </c>
      <c r="G158" s="57" t="s">
        <v>23</v>
      </c>
      <c r="H158" s="109">
        <v>-7.8</v>
      </c>
      <c r="I158" s="133">
        <v>11.7</v>
      </c>
      <c r="J158" s="72">
        <v>39.994199999999999</v>
      </c>
      <c r="K158" s="70">
        <v>1345.8</v>
      </c>
      <c r="L158" s="30">
        <v>1</v>
      </c>
      <c r="M158" s="14">
        <v>1</v>
      </c>
      <c r="N158" s="33" t="s">
        <v>99</v>
      </c>
      <c r="O158" s="17">
        <v>1</v>
      </c>
      <c r="P158" s="17"/>
      <c r="Q158" s="25"/>
      <c r="R158" s="18"/>
      <c r="S158" s="19"/>
    </row>
    <row r="159" spans="1:19" ht="34.5" customHeight="1" thickBot="1" x14ac:dyDescent="0.45">
      <c r="A159" s="52">
        <v>156</v>
      </c>
      <c r="B159" s="80"/>
      <c r="C159" s="76"/>
      <c r="D159" s="123"/>
      <c r="E159" s="13"/>
      <c r="F159" s="125" t="s">
        <v>262</v>
      </c>
      <c r="G159" s="57" t="s">
        <v>88</v>
      </c>
      <c r="H159" s="88"/>
      <c r="I159" s="88"/>
      <c r="J159" s="72">
        <v>31.1922</v>
      </c>
      <c r="K159" s="70">
        <v>2</v>
      </c>
      <c r="L159" s="30">
        <v>1</v>
      </c>
      <c r="M159" s="14"/>
      <c r="N159" s="33" t="s">
        <v>99</v>
      </c>
      <c r="O159" s="17"/>
      <c r="P159" s="17"/>
      <c r="Q159" s="25"/>
      <c r="R159" s="18">
        <v>1</v>
      </c>
      <c r="S159" s="19">
        <v>1</v>
      </c>
    </row>
    <row r="160" spans="1:19" ht="34.5" customHeight="1" thickBot="1" x14ac:dyDescent="0.45">
      <c r="A160" s="52">
        <v>157</v>
      </c>
      <c r="B160" s="80"/>
      <c r="C160" s="76"/>
      <c r="D160" s="93"/>
      <c r="E160" s="13"/>
      <c r="F160" s="125" t="s">
        <v>179</v>
      </c>
      <c r="G160" s="57" t="s">
        <v>32</v>
      </c>
      <c r="H160" s="88"/>
      <c r="I160" s="88"/>
      <c r="J160" s="72">
        <v>26.391100000000002</v>
      </c>
      <c r="K160" s="70">
        <v>120.7</v>
      </c>
      <c r="L160" s="30">
        <v>1</v>
      </c>
      <c r="M160" s="14"/>
      <c r="N160" s="33" t="s">
        <v>99</v>
      </c>
      <c r="O160" s="17"/>
      <c r="P160" s="17"/>
      <c r="Q160" s="25"/>
      <c r="R160" s="18"/>
      <c r="S160" s="19">
        <v>1</v>
      </c>
    </row>
    <row r="161" spans="1:19" ht="34.5" customHeight="1" thickBot="1" x14ac:dyDescent="0.45">
      <c r="A161" s="52">
        <v>158</v>
      </c>
      <c r="B161" s="80"/>
      <c r="C161" s="76"/>
      <c r="D161" s="93"/>
      <c r="E161" s="13"/>
      <c r="F161" s="125" t="s">
        <v>300</v>
      </c>
      <c r="G161" s="57" t="s">
        <v>302</v>
      </c>
      <c r="H161" s="88"/>
      <c r="I161" s="88"/>
      <c r="J161" s="72">
        <v>28.461400000000001</v>
      </c>
      <c r="K161" s="70">
        <v>121.3</v>
      </c>
      <c r="L161" s="30">
        <v>1</v>
      </c>
      <c r="M161" s="14"/>
      <c r="N161" s="33" t="s">
        <v>99</v>
      </c>
      <c r="O161" s="17"/>
      <c r="P161" s="17"/>
      <c r="Q161" s="25"/>
      <c r="R161" s="18"/>
      <c r="S161" s="19">
        <v>1</v>
      </c>
    </row>
    <row r="162" spans="1:19" ht="34.5" customHeight="1" thickBot="1" x14ac:dyDescent="0.45">
      <c r="A162" s="52">
        <v>159</v>
      </c>
      <c r="B162" s="80"/>
      <c r="C162" s="76"/>
      <c r="D162" s="93"/>
      <c r="E162" s="13"/>
      <c r="F162" s="125" t="s">
        <v>180</v>
      </c>
      <c r="G162" s="57" t="s">
        <v>89</v>
      </c>
      <c r="H162" s="88"/>
      <c r="I162" s="88"/>
      <c r="J162" s="72">
        <v>27.052499999999998</v>
      </c>
      <c r="K162" s="70">
        <v>109.4</v>
      </c>
      <c r="L162" s="30">
        <v>1</v>
      </c>
      <c r="M162" s="14"/>
      <c r="N162" s="33" t="s">
        <v>99</v>
      </c>
      <c r="O162" s="17"/>
      <c r="P162" s="17"/>
      <c r="Q162" s="25"/>
      <c r="R162" s="18"/>
      <c r="S162" s="19">
        <v>1</v>
      </c>
    </row>
    <row r="163" spans="1:19" ht="34.5" customHeight="1" thickBot="1" x14ac:dyDescent="0.45">
      <c r="A163" s="52">
        <v>160</v>
      </c>
      <c r="B163" s="80"/>
      <c r="C163" s="76"/>
      <c r="D163" s="123"/>
      <c r="E163" s="13"/>
      <c r="F163" s="125" t="s">
        <v>263</v>
      </c>
      <c r="G163" s="57" t="s">
        <v>90</v>
      </c>
      <c r="H163" s="88"/>
      <c r="I163" s="88"/>
      <c r="J163" s="72">
        <v>36.043900000000001</v>
      </c>
      <c r="K163" s="70">
        <v>1517.2</v>
      </c>
      <c r="L163" s="30">
        <v>1</v>
      </c>
      <c r="M163" s="14"/>
      <c r="N163" s="33" t="s">
        <v>99</v>
      </c>
      <c r="O163" s="17"/>
      <c r="P163" s="17"/>
      <c r="Q163" s="25"/>
      <c r="R163" s="18">
        <v>1</v>
      </c>
      <c r="S163" s="19">
        <v>1</v>
      </c>
    </row>
    <row r="164" spans="1:19" ht="34.5" customHeight="1" thickBot="1" x14ac:dyDescent="0.45">
      <c r="A164" s="52">
        <v>161</v>
      </c>
      <c r="B164" s="80"/>
      <c r="C164" s="76"/>
      <c r="D164" s="92"/>
      <c r="E164" s="13"/>
      <c r="F164" s="125" t="s">
        <v>264</v>
      </c>
      <c r="G164" s="57" t="s">
        <v>209</v>
      </c>
      <c r="H164" s="88"/>
      <c r="I164" s="88"/>
      <c r="J164" s="72">
        <v>51.683300000000003</v>
      </c>
      <c r="K164" s="69">
        <v>654</v>
      </c>
      <c r="L164" s="30">
        <v>1</v>
      </c>
      <c r="M164" s="14">
        <v>1</v>
      </c>
      <c r="N164" s="33" t="s">
        <v>99</v>
      </c>
      <c r="O164" s="17">
        <v>1</v>
      </c>
      <c r="P164" s="17"/>
      <c r="Q164" s="25"/>
      <c r="R164" s="18"/>
      <c r="S164" s="19"/>
    </row>
    <row r="165" spans="1:19" ht="34.5" customHeight="1" thickBot="1" x14ac:dyDescent="0.45">
      <c r="A165" s="52">
        <v>162</v>
      </c>
      <c r="B165" s="80"/>
      <c r="C165" s="76"/>
      <c r="D165" s="92"/>
      <c r="E165" s="13"/>
      <c r="F165" s="125" t="s">
        <v>230</v>
      </c>
      <c r="G165" s="57" t="s">
        <v>341</v>
      </c>
      <c r="H165" s="88"/>
      <c r="I165" s="88"/>
      <c r="J165" s="72">
        <v>52.839700000000001</v>
      </c>
      <c r="K165" s="69">
        <v>507.5</v>
      </c>
      <c r="L165" s="30">
        <v>1</v>
      </c>
      <c r="M165" s="14">
        <v>1</v>
      </c>
      <c r="N165" s="33" t="s">
        <v>99</v>
      </c>
      <c r="O165" s="17">
        <v>1</v>
      </c>
      <c r="P165" s="17"/>
      <c r="Q165" s="25"/>
      <c r="R165" s="18"/>
      <c r="S165" s="19"/>
    </row>
    <row r="166" spans="1:19" ht="34.5" customHeight="1" thickBot="1" x14ac:dyDescent="0.45">
      <c r="A166" s="52">
        <v>163</v>
      </c>
      <c r="B166" s="80"/>
      <c r="C166" s="76"/>
      <c r="D166" s="93"/>
      <c r="E166" s="13"/>
      <c r="F166" s="126" t="s">
        <v>265</v>
      </c>
      <c r="G166" s="57" t="s">
        <v>210</v>
      </c>
      <c r="H166" s="88"/>
      <c r="I166" s="88"/>
      <c r="J166" s="72">
        <v>51.3264</v>
      </c>
      <c r="K166" s="69">
        <v>496.2</v>
      </c>
      <c r="L166" s="30">
        <v>1</v>
      </c>
      <c r="M166" s="14">
        <v>1</v>
      </c>
      <c r="N166" s="33" t="s">
        <v>99</v>
      </c>
      <c r="O166" s="17">
        <v>1</v>
      </c>
      <c r="P166" s="17"/>
      <c r="Q166" s="25"/>
      <c r="R166" s="18"/>
      <c r="S166" s="19"/>
    </row>
    <row r="167" spans="1:19" ht="34.5" customHeight="1" thickBot="1" x14ac:dyDescent="0.45">
      <c r="A167" s="52">
        <v>164</v>
      </c>
      <c r="B167" s="80"/>
      <c r="C167" s="76"/>
      <c r="D167" s="93" t="s">
        <v>466</v>
      </c>
      <c r="E167" s="13"/>
      <c r="F167" s="126" t="s">
        <v>266</v>
      </c>
      <c r="G167" s="57" t="s">
        <v>211</v>
      </c>
      <c r="H167" s="165">
        <v>-25.9</v>
      </c>
      <c r="I167" s="132">
        <v>-8.3000000000000007</v>
      </c>
      <c r="J167" s="72">
        <v>49.55</v>
      </c>
      <c r="K167" s="70">
        <v>689</v>
      </c>
      <c r="L167" s="30">
        <v>1</v>
      </c>
      <c r="M167" s="14">
        <v>1</v>
      </c>
      <c r="N167" s="33" t="s">
        <v>99</v>
      </c>
      <c r="O167" s="17">
        <v>1</v>
      </c>
      <c r="P167" s="17"/>
      <c r="Q167" s="25"/>
      <c r="R167" s="18"/>
      <c r="S167" s="19"/>
    </row>
    <row r="168" spans="1:19" ht="34.5" customHeight="1" thickBot="1" x14ac:dyDescent="0.45">
      <c r="A168" s="52">
        <v>165</v>
      </c>
      <c r="B168" s="80"/>
      <c r="C168" s="76"/>
      <c r="D168" s="93"/>
      <c r="E168" s="13"/>
      <c r="F168" s="126" t="s">
        <v>265</v>
      </c>
      <c r="G168" s="57" t="s">
        <v>212</v>
      </c>
      <c r="H168" s="88"/>
      <c r="I168" s="88"/>
      <c r="J168" s="72">
        <v>52.6633</v>
      </c>
      <c r="K168" s="71">
        <v>430</v>
      </c>
      <c r="L168" s="30">
        <v>1</v>
      </c>
      <c r="M168" s="14">
        <v>1</v>
      </c>
      <c r="N168" s="33" t="s">
        <v>99</v>
      </c>
      <c r="O168" s="17">
        <v>1</v>
      </c>
      <c r="P168" s="17"/>
      <c r="Q168" s="25"/>
      <c r="R168" s="18"/>
      <c r="S168" s="19"/>
    </row>
    <row r="169" spans="1:19" ht="34.5" customHeight="1" thickBot="1" x14ac:dyDescent="0.45">
      <c r="A169" s="52">
        <v>166</v>
      </c>
      <c r="B169" s="80"/>
      <c r="C169" s="76"/>
      <c r="D169" s="92"/>
      <c r="E169" s="13"/>
      <c r="F169" s="126" t="s">
        <v>333</v>
      </c>
      <c r="G169" s="57" t="s">
        <v>340</v>
      </c>
      <c r="H169" s="88"/>
      <c r="I169" s="88"/>
      <c r="J169" s="72">
        <v>50.995800000000003</v>
      </c>
      <c r="K169" s="71">
        <v>817.2</v>
      </c>
      <c r="L169" s="30">
        <v>1</v>
      </c>
      <c r="M169" s="14">
        <v>1</v>
      </c>
      <c r="N169" s="33" t="s">
        <v>342</v>
      </c>
      <c r="O169" s="17">
        <v>1</v>
      </c>
      <c r="P169" s="17"/>
      <c r="Q169" s="25"/>
      <c r="R169" s="18"/>
      <c r="S169" s="19"/>
    </row>
    <row r="170" spans="1:19" ht="34.5" customHeight="1" thickBot="1" x14ac:dyDescent="0.45">
      <c r="A170" s="52">
        <v>167</v>
      </c>
      <c r="B170" s="80"/>
      <c r="C170" s="76"/>
      <c r="D170" s="92"/>
      <c r="E170" s="13"/>
      <c r="F170" s="125" t="s">
        <v>267</v>
      </c>
      <c r="G170" s="57" t="s">
        <v>91</v>
      </c>
      <c r="H170" s="88"/>
      <c r="I170" s="88"/>
      <c r="J170" s="72">
        <v>48.584200000000003</v>
      </c>
      <c r="K170" s="70">
        <v>1223</v>
      </c>
      <c r="L170" s="30">
        <v>1</v>
      </c>
      <c r="M170" s="14">
        <v>1</v>
      </c>
      <c r="N170" s="33" t="s">
        <v>99</v>
      </c>
      <c r="O170" s="17">
        <v>1</v>
      </c>
      <c r="P170" s="17"/>
      <c r="Q170" s="25"/>
      <c r="R170" s="18"/>
      <c r="S170" s="19"/>
    </row>
    <row r="171" spans="1:19" ht="34.5" customHeight="1" thickBot="1" x14ac:dyDescent="0.45">
      <c r="A171" s="52">
        <v>168</v>
      </c>
      <c r="B171" s="80"/>
      <c r="C171" s="76"/>
      <c r="D171" s="92"/>
      <c r="E171" s="13"/>
      <c r="F171" s="125" t="s">
        <v>268</v>
      </c>
      <c r="G171" s="57" t="s">
        <v>213</v>
      </c>
      <c r="H171" s="88"/>
      <c r="I171" s="88"/>
      <c r="J171" s="72">
        <v>47.027200000000001</v>
      </c>
      <c r="K171" s="70">
        <v>1333</v>
      </c>
      <c r="L171" s="30">
        <v>1</v>
      </c>
      <c r="M171" s="14">
        <v>1</v>
      </c>
      <c r="N171" s="33" t="s">
        <v>99</v>
      </c>
      <c r="O171" s="17">
        <v>1</v>
      </c>
      <c r="P171" s="17"/>
      <c r="Q171" s="25"/>
      <c r="R171" s="18"/>
      <c r="S171" s="19"/>
    </row>
    <row r="172" spans="1:19" ht="34.5" customHeight="1" thickBot="1" x14ac:dyDescent="0.45">
      <c r="A172" s="52">
        <v>169</v>
      </c>
      <c r="B172" s="80"/>
      <c r="C172" s="76"/>
      <c r="D172" s="92" t="s">
        <v>222</v>
      </c>
      <c r="E172" s="13"/>
      <c r="F172" s="125" t="s">
        <v>269</v>
      </c>
      <c r="G172" s="57" t="s">
        <v>214</v>
      </c>
      <c r="H172" s="129">
        <v>-16.7</v>
      </c>
      <c r="I172" s="120" t="s">
        <v>470</v>
      </c>
      <c r="J172" s="72">
        <v>46.801099999999998</v>
      </c>
      <c r="K172" s="71">
        <v>2640</v>
      </c>
      <c r="L172" s="31">
        <v>2</v>
      </c>
      <c r="M172" s="15">
        <v>2</v>
      </c>
      <c r="N172" s="33" t="s">
        <v>99</v>
      </c>
      <c r="O172" s="85">
        <v>2</v>
      </c>
      <c r="P172" s="17"/>
      <c r="Q172" s="25"/>
      <c r="R172" s="18"/>
      <c r="S172" s="19"/>
    </row>
    <row r="173" spans="1:19" ht="34.5" customHeight="1" thickBot="1" x14ac:dyDescent="0.45">
      <c r="A173" s="52">
        <v>170</v>
      </c>
      <c r="B173" s="80"/>
      <c r="C173" s="76"/>
      <c r="D173" s="92"/>
      <c r="E173" s="13"/>
      <c r="F173" s="125" t="s">
        <v>327</v>
      </c>
      <c r="G173" s="84" t="s">
        <v>330</v>
      </c>
      <c r="H173" s="88"/>
      <c r="I173" s="88"/>
      <c r="J173" s="72" t="s">
        <v>328</v>
      </c>
      <c r="K173" s="71" t="s">
        <v>329</v>
      </c>
      <c r="L173" s="31">
        <v>2</v>
      </c>
      <c r="M173" s="15">
        <v>2</v>
      </c>
      <c r="N173" s="33" t="s">
        <v>326</v>
      </c>
      <c r="O173" s="85">
        <v>2</v>
      </c>
      <c r="P173" s="17"/>
      <c r="Q173" s="25"/>
      <c r="R173" s="18"/>
      <c r="S173" s="19"/>
    </row>
    <row r="174" spans="1:19" ht="34.5" customHeight="1" thickBot="1" x14ac:dyDescent="0.45">
      <c r="A174" s="52">
        <v>171</v>
      </c>
      <c r="B174" s="80"/>
      <c r="C174" s="76"/>
      <c r="D174" s="92"/>
      <c r="E174" s="13"/>
      <c r="F174" s="125" t="s">
        <v>236</v>
      </c>
      <c r="G174" s="57" t="s">
        <v>215</v>
      </c>
      <c r="H174" s="88"/>
      <c r="I174" s="88"/>
      <c r="J174" s="72">
        <v>42.828800000000001</v>
      </c>
      <c r="K174" s="69">
        <v>2465</v>
      </c>
      <c r="L174" s="30">
        <v>1</v>
      </c>
      <c r="M174" s="14">
        <v>1</v>
      </c>
      <c r="N174" s="33" t="s">
        <v>99</v>
      </c>
      <c r="O174" s="17">
        <v>1</v>
      </c>
      <c r="P174" s="17"/>
      <c r="Q174" s="25"/>
      <c r="R174" s="18"/>
      <c r="S174" s="19"/>
    </row>
    <row r="175" spans="1:19" ht="34.5" customHeight="1" thickBot="1" x14ac:dyDescent="0.45">
      <c r="A175" s="52">
        <v>172</v>
      </c>
      <c r="B175" s="80"/>
      <c r="C175" s="76"/>
      <c r="D175" s="93" t="s">
        <v>222</v>
      </c>
      <c r="E175" s="104">
        <v>0</v>
      </c>
      <c r="F175" s="59" t="s">
        <v>321</v>
      </c>
      <c r="G175" s="57" t="s">
        <v>420</v>
      </c>
      <c r="H175" s="106">
        <v>-12.2</v>
      </c>
      <c r="I175" s="171">
        <v>2.8</v>
      </c>
      <c r="J175" s="72">
        <v>42.410299999999999</v>
      </c>
      <c r="K175" s="69">
        <v>1506.5</v>
      </c>
      <c r="L175" s="30">
        <v>1</v>
      </c>
      <c r="M175" s="14">
        <v>1</v>
      </c>
      <c r="N175" s="33" t="s">
        <v>326</v>
      </c>
      <c r="O175" s="17">
        <v>1</v>
      </c>
      <c r="P175" s="17"/>
      <c r="Q175" s="25"/>
      <c r="R175" s="18"/>
      <c r="S175" s="19"/>
    </row>
    <row r="176" spans="1:19" ht="34.5" customHeight="1" thickBot="1" x14ac:dyDescent="0.45">
      <c r="A176" s="52">
        <v>173</v>
      </c>
      <c r="B176" s="80"/>
      <c r="C176" s="76"/>
      <c r="D176" s="92"/>
      <c r="E176" s="13"/>
      <c r="F176" s="125" t="s">
        <v>322</v>
      </c>
      <c r="G176" s="57" t="s">
        <v>324</v>
      </c>
      <c r="H176" s="88"/>
      <c r="I176" s="88"/>
      <c r="J176" s="72">
        <v>39.049199999999999</v>
      </c>
      <c r="K176" s="69">
        <v>2889</v>
      </c>
      <c r="L176" s="31">
        <v>2</v>
      </c>
      <c r="M176" s="15">
        <v>2</v>
      </c>
      <c r="N176" s="33" t="s">
        <v>99</v>
      </c>
      <c r="O176" s="85">
        <v>2</v>
      </c>
      <c r="P176" s="17"/>
      <c r="Q176" s="25"/>
      <c r="R176" s="18"/>
      <c r="S176" s="19"/>
    </row>
    <row r="177" spans="1:19" ht="34.5" customHeight="1" thickBot="1" x14ac:dyDescent="0.45">
      <c r="A177" s="52">
        <v>174</v>
      </c>
      <c r="B177" s="80"/>
      <c r="C177" s="76"/>
      <c r="D177" s="92"/>
      <c r="E177" s="13"/>
      <c r="F177" s="125" t="s">
        <v>323</v>
      </c>
      <c r="G177" s="57" t="s">
        <v>325</v>
      </c>
      <c r="H177" s="88"/>
      <c r="I177" s="88"/>
      <c r="J177" s="72">
        <v>33.0672</v>
      </c>
      <c r="K177" s="69">
        <v>4186</v>
      </c>
      <c r="L177" s="30">
        <v>1</v>
      </c>
      <c r="M177" s="14">
        <v>1</v>
      </c>
      <c r="N177" s="33" t="s">
        <v>326</v>
      </c>
      <c r="O177" s="17">
        <v>1</v>
      </c>
      <c r="P177" s="17"/>
      <c r="Q177" s="25"/>
      <c r="R177" s="18"/>
      <c r="S177" s="19"/>
    </row>
    <row r="178" spans="1:19" ht="34.5" customHeight="1" thickBot="1" x14ac:dyDescent="0.45">
      <c r="A178" s="52">
        <v>175</v>
      </c>
      <c r="B178" s="80"/>
      <c r="C178" s="76" t="s">
        <v>331</v>
      </c>
      <c r="D178" s="92"/>
      <c r="E178" s="13"/>
      <c r="F178" s="125" t="s">
        <v>315</v>
      </c>
      <c r="G178" s="57" t="s">
        <v>316</v>
      </c>
      <c r="H178" s="88"/>
      <c r="I178" s="88"/>
      <c r="J178" s="72">
        <v>30.134699999999999</v>
      </c>
      <c r="K178" s="69">
        <v>1839.7</v>
      </c>
      <c r="L178" s="30"/>
      <c r="M178" s="14"/>
      <c r="N178" s="33" t="s">
        <v>99</v>
      </c>
      <c r="O178" s="17"/>
      <c r="P178" s="17"/>
      <c r="Q178" s="25"/>
      <c r="R178" s="18"/>
      <c r="S178" s="19"/>
    </row>
    <row r="179" spans="1:19" ht="34.5" customHeight="1" thickBot="1" x14ac:dyDescent="0.45">
      <c r="A179" s="52">
        <v>176</v>
      </c>
      <c r="B179" s="80"/>
      <c r="C179" s="76"/>
      <c r="D179" s="93" t="s">
        <v>222</v>
      </c>
      <c r="E179" s="13"/>
      <c r="F179" s="125" t="s">
        <v>311</v>
      </c>
      <c r="G179" s="57" t="s">
        <v>312</v>
      </c>
      <c r="H179" s="120">
        <v>-17.899999999999999</v>
      </c>
      <c r="I179" s="120">
        <v>-11.5</v>
      </c>
      <c r="J179" s="72">
        <v>42.028300000000002</v>
      </c>
      <c r="K179" s="69">
        <v>2620</v>
      </c>
      <c r="L179" s="31">
        <v>2</v>
      </c>
      <c r="M179" s="15">
        <v>2</v>
      </c>
      <c r="N179" s="33" t="s">
        <v>326</v>
      </c>
      <c r="O179" s="85">
        <v>2</v>
      </c>
      <c r="P179" s="17"/>
      <c r="Q179" s="25"/>
      <c r="R179" s="18"/>
      <c r="S179" s="19"/>
    </row>
    <row r="180" spans="1:19" ht="34.5" customHeight="1" thickBot="1" x14ac:dyDescent="0.45">
      <c r="A180" s="52">
        <v>177</v>
      </c>
      <c r="B180" s="80"/>
      <c r="C180" s="76"/>
      <c r="D180" s="92"/>
      <c r="E180" s="13"/>
      <c r="F180" s="125" t="s">
        <v>307</v>
      </c>
      <c r="G180" s="57" t="s">
        <v>308</v>
      </c>
      <c r="H180" s="88"/>
      <c r="I180" s="88"/>
      <c r="J180" s="72">
        <v>48.721699999999998</v>
      </c>
      <c r="K180" s="69">
        <v>1367</v>
      </c>
      <c r="L180" s="31">
        <v>2</v>
      </c>
      <c r="M180" s="15">
        <v>2</v>
      </c>
      <c r="N180" s="33" t="s">
        <v>99</v>
      </c>
      <c r="O180" s="85">
        <v>2</v>
      </c>
      <c r="P180" s="17"/>
      <c r="Q180" s="25"/>
      <c r="R180" s="18"/>
      <c r="S180" s="19"/>
    </row>
    <row r="181" spans="1:19" ht="34.5" customHeight="1" thickBot="1" x14ac:dyDescent="0.45">
      <c r="A181" s="52">
        <v>178</v>
      </c>
      <c r="B181" s="80"/>
      <c r="C181" s="76"/>
      <c r="D181" s="92"/>
      <c r="E181" s="13"/>
      <c r="F181" s="125" t="s">
        <v>309</v>
      </c>
      <c r="G181" s="57" t="s">
        <v>310</v>
      </c>
      <c r="H181" s="88"/>
      <c r="I181" s="88"/>
      <c r="J181" s="72">
        <v>44.602800000000002</v>
      </c>
      <c r="K181" s="69">
        <v>2100</v>
      </c>
      <c r="L181" s="31">
        <v>2</v>
      </c>
      <c r="M181" s="15">
        <v>2</v>
      </c>
      <c r="N181" s="33" t="s">
        <v>326</v>
      </c>
      <c r="O181" s="85">
        <v>2</v>
      </c>
      <c r="P181" s="17"/>
      <c r="Q181" s="25"/>
      <c r="R181" s="18"/>
      <c r="S181" s="19"/>
    </row>
    <row r="182" spans="1:19" ht="34.5" customHeight="1" thickBot="1" x14ac:dyDescent="0.45">
      <c r="A182" s="52">
        <v>179</v>
      </c>
      <c r="B182" s="80"/>
      <c r="C182" s="76"/>
      <c r="D182" s="92"/>
      <c r="E182" s="13"/>
      <c r="F182" s="125" t="s">
        <v>313</v>
      </c>
      <c r="G182" s="57" t="s">
        <v>319</v>
      </c>
      <c r="H182" s="88"/>
      <c r="I182" s="88"/>
      <c r="J182" s="72">
        <v>33.043300000000002</v>
      </c>
      <c r="K182" s="69">
        <v>3099</v>
      </c>
      <c r="L182" s="31"/>
      <c r="M182" s="15"/>
      <c r="N182" s="33" t="s">
        <v>99</v>
      </c>
      <c r="O182" s="85"/>
      <c r="P182" s="17"/>
      <c r="Q182" s="25"/>
      <c r="R182" s="18"/>
      <c r="S182" s="19"/>
    </row>
    <row r="183" spans="1:19" ht="34.5" customHeight="1" thickBot="1" x14ac:dyDescent="0.45">
      <c r="A183" s="52">
        <v>180</v>
      </c>
      <c r="B183" s="80"/>
      <c r="C183" s="76"/>
      <c r="D183" s="92"/>
      <c r="E183" s="13"/>
      <c r="F183" s="125" t="s">
        <v>314</v>
      </c>
      <c r="G183" s="57" t="s">
        <v>318</v>
      </c>
      <c r="H183" s="88"/>
      <c r="I183" s="88"/>
      <c r="J183" s="72">
        <v>29.041899999999998</v>
      </c>
      <c r="K183" s="69">
        <v>1443.4</v>
      </c>
      <c r="L183" s="30"/>
      <c r="M183" s="14"/>
      <c r="N183" s="33" t="s">
        <v>326</v>
      </c>
      <c r="O183" s="17"/>
      <c r="P183" s="17"/>
      <c r="Q183" s="25"/>
      <c r="R183" s="18"/>
      <c r="S183" s="19"/>
    </row>
    <row r="184" spans="1:19" ht="34.5" customHeight="1" thickBot="1" x14ac:dyDescent="0.45">
      <c r="A184" s="52">
        <v>181</v>
      </c>
      <c r="B184" s="80"/>
      <c r="C184" s="76" t="s">
        <v>221</v>
      </c>
      <c r="D184" s="92"/>
      <c r="E184" s="13"/>
      <c r="F184" s="125" t="s">
        <v>429</v>
      </c>
      <c r="G184" s="57" t="s">
        <v>428</v>
      </c>
      <c r="H184" s="88"/>
      <c r="I184" s="88"/>
      <c r="J184" s="72">
        <v>25.033333299999999</v>
      </c>
      <c r="K184" s="69">
        <v>9</v>
      </c>
      <c r="L184" s="30">
        <v>1</v>
      </c>
      <c r="M184" s="14">
        <v>1</v>
      </c>
      <c r="N184" s="33" t="s">
        <v>326</v>
      </c>
      <c r="O184" s="17">
        <v>1</v>
      </c>
      <c r="P184" s="17"/>
      <c r="Q184" s="25"/>
      <c r="R184" s="18"/>
      <c r="S184" s="19"/>
    </row>
    <row r="185" spans="1:19" ht="34.5" customHeight="1" thickBot="1" x14ac:dyDescent="0.45">
      <c r="A185" s="52">
        <v>182</v>
      </c>
      <c r="B185" s="80"/>
      <c r="C185" s="76" t="s">
        <v>221</v>
      </c>
      <c r="D185" s="92"/>
      <c r="E185" s="13"/>
      <c r="F185" s="125" t="s">
        <v>426</v>
      </c>
      <c r="G185" s="57" t="s">
        <v>426</v>
      </c>
      <c r="H185" s="88"/>
      <c r="I185" s="88"/>
      <c r="J185" s="72">
        <v>22.308918999999999</v>
      </c>
      <c r="K185" s="69">
        <v>8.5299999999999994</v>
      </c>
      <c r="L185" s="30">
        <v>1</v>
      </c>
      <c r="M185" s="14">
        <v>1</v>
      </c>
      <c r="N185" s="33" t="s">
        <v>326</v>
      </c>
      <c r="O185" s="17">
        <v>1</v>
      </c>
      <c r="P185" s="17"/>
      <c r="Q185" s="25"/>
      <c r="R185" s="18"/>
      <c r="S185" s="19"/>
    </row>
    <row r="186" spans="1:19" ht="34.5" customHeight="1" thickBot="1" x14ac:dyDescent="0.45">
      <c r="A186" s="52">
        <v>183</v>
      </c>
      <c r="B186" s="80"/>
      <c r="C186" s="76" t="s">
        <v>221</v>
      </c>
      <c r="D186" s="92"/>
      <c r="E186" s="13"/>
      <c r="F186" s="125" t="s">
        <v>427</v>
      </c>
      <c r="G186" s="57" t="s">
        <v>427</v>
      </c>
      <c r="H186" s="88"/>
      <c r="I186" s="88"/>
      <c r="J186" s="72">
        <v>22.149556</v>
      </c>
      <c r="K186" s="69">
        <v>6.09</v>
      </c>
      <c r="L186" s="30">
        <v>1</v>
      </c>
      <c r="M186" s="14">
        <v>1</v>
      </c>
      <c r="N186" s="33" t="s">
        <v>326</v>
      </c>
      <c r="O186" s="17">
        <v>1</v>
      </c>
      <c r="P186" s="17"/>
      <c r="Q186" s="25"/>
      <c r="R186" s="18"/>
      <c r="S186" s="19"/>
    </row>
    <row r="187" spans="1:19" ht="34.5" customHeight="1" thickBot="1" x14ac:dyDescent="0.45">
      <c r="A187" s="52">
        <v>184</v>
      </c>
      <c r="B187" s="80"/>
      <c r="C187" s="76" t="s">
        <v>221</v>
      </c>
      <c r="D187" s="93" t="s">
        <v>222</v>
      </c>
      <c r="E187" s="13"/>
      <c r="F187" s="125" t="s">
        <v>181</v>
      </c>
      <c r="G187" s="55" t="s">
        <v>216</v>
      </c>
      <c r="H187" s="88"/>
      <c r="I187" s="88"/>
      <c r="J187" s="72">
        <v>56.283333300000002</v>
      </c>
      <c r="K187" s="69">
        <v>850</v>
      </c>
      <c r="L187" s="32">
        <v>3</v>
      </c>
      <c r="M187" s="16">
        <v>3</v>
      </c>
      <c r="N187" s="33" t="s">
        <v>110</v>
      </c>
      <c r="O187" s="17"/>
      <c r="P187" s="17">
        <v>1</v>
      </c>
      <c r="Q187" s="25"/>
      <c r="R187" s="18"/>
      <c r="S187" s="19"/>
    </row>
    <row r="188" spans="1:19" ht="34.5" customHeight="1" thickBot="1" x14ac:dyDescent="0.45">
      <c r="A188" s="52">
        <v>185</v>
      </c>
      <c r="B188" s="80"/>
      <c r="C188" s="76" t="s">
        <v>221</v>
      </c>
      <c r="D188" s="93" t="s">
        <v>222</v>
      </c>
      <c r="E188" s="13"/>
      <c r="F188" s="125" t="s">
        <v>181</v>
      </c>
      <c r="G188" s="55" t="s">
        <v>56</v>
      </c>
      <c r="H188" s="88"/>
      <c r="I188" s="88"/>
      <c r="J188" s="72">
        <v>63.25</v>
      </c>
      <c r="K188" s="69">
        <v>741</v>
      </c>
      <c r="L188" s="32">
        <v>3</v>
      </c>
      <c r="M188" s="16">
        <v>3</v>
      </c>
      <c r="N188" s="33" t="s">
        <v>110</v>
      </c>
      <c r="O188" s="17"/>
      <c r="P188" s="17">
        <v>1</v>
      </c>
      <c r="Q188" s="25"/>
      <c r="R188" s="18"/>
      <c r="S188" s="19"/>
    </row>
    <row r="189" spans="1:19" ht="34.5" customHeight="1" thickBot="1" x14ac:dyDescent="0.45">
      <c r="A189" s="52">
        <v>186</v>
      </c>
      <c r="B189" s="80"/>
      <c r="C189" s="76" t="s">
        <v>221</v>
      </c>
      <c r="D189" s="93" t="s">
        <v>222</v>
      </c>
      <c r="E189" s="13"/>
      <c r="F189" s="125" t="s">
        <v>181</v>
      </c>
      <c r="G189" s="55" t="s">
        <v>118</v>
      </c>
      <c r="H189" s="88"/>
      <c r="I189" s="88"/>
      <c r="J189" s="72">
        <v>64.55</v>
      </c>
      <c r="K189" s="69">
        <v>518.52</v>
      </c>
      <c r="L189" s="32">
        <v>3</v>
      </c>
      <c r="M189" s="16">
        <v>3</v>
      </c>
      <c r="N189" s="33" t="s">
        <v>110</v>
      </c>
      <c r="O189" s="17"/>
      <c r="P189" s="17">
        <v>1</v>
      </c>
      <c r="Q189" s="25"/>
      <c r="R189" s="18"/>
      <c r="S189" s="19"/>
    </row>
    <row r="190" spans="1:19" ht="34.5" customHeight="1" thickBot="1" x14ac:dyDescent="0.45">
      <c r="A190" s="52">
        <v>187</v>
      </c>
      <c r="B190" s="80"/>
      <c r="C190" s="76" t="s">
        <v>221</v>
      </c>
      <c r="D190" s="93" t="s">
        <v>222</v>
      </c>
      <c r="E190" s="13"/>
      <c r="F190" s="125" t="s">
        <v>181</v>
      </c>
      <c r="G190" s="55" t="s">
        <v>119</v>
      </c>
      <c r="H190" s="88"/>
      <c r="I190" s="88"/>
      <c r="J190" s="72">
        <v>64.05</v>
      </c>
      <c r="K190" s="69">
        <v>589.71</v>
      </c>
      <c r="L190" s="32">
        <v>3</v>
      </c>
      <c r="M190" s="16">
        <v>3</v>
      </c>
      <c r="N190" s="33" t="s">
        <v>110</v>
      </c>
      <c r="O190" s="17"/>
      <c r="P190" s="17">
        <v>1</v>
      </c>
      <c r="Q190" s="25"/>
      <c r="R190" s="18"/>
      <c r="S190" s="19"/>
    </row>
    <row r="191" spans="1:19" ht="34.5" customHeight="1" thickBot="1" x14ac:dyDescent="0.45">
      <c r="A191" s="52">
        <v>188</v>
      </c>
      <c r="B191" s="80"/>
      <c r="C191" s="76" t="s">
        <v>221</v>
      </c>
      <c r="D191" s="93" t="s">
        <v>222</v>
      </c>
      <c r="E191" s="13"/>
      <c r="F191" s="125" t="s">
        <v>181</v>
      </c>
      <c r="G191" s="55" t="s">
        <v>120</v>
      </c>
      <c r="H191" s="88"/>
      <c r="I191" s="88"/>
      <c r="J191" s="72">
        <v>63.8333333</v>
      </c>
      <c r="K191" s="69">
        <v>800.92</v>
      </c>
      <c r="L191" s="32">
        <v>3</v>
      </c>
      <c r="M191" s="16">
        <v>3</v>
      </c>
      <c r="N191" s="33" t="s">
        <v>110</v>
      </c>
      <c r="O191" s="17"/>
      <c r="P191" s="17">
        <v>1</v>
      </c>
      <c r="Q191" s="25"/>
      <c r="R191" s="18"/>
      <c r="S191" s="19"/>
    </row>
    <row r="192" spans="1:19" ht="34.5" customHeight="1" thickBot="1" x14ac:dyDescent="0.45">
      <c r="A192" s="52">
        <v>189</v>
      </c>
      <c r="B192" s="80"/>
      <c r="C192" s="76" t="s">
        <v>221</v>
      </c>
      <c r="D192" s="93" t="s">
        <v>222</v>
      </c>
      <c r="E192" s="13"/>
      <c r="F192" s="125" t="s">
        <v>181</v>
      </c>
      <c r="G192" s="55" t="s">
        <v>121</v>
      </c>
      <c r="H192" s="88"/>
      <c r="I192" s="88"/>
      <c r="J192" s="72">
        <v>67.566666600000005</v>
      </c>
      <c r="K192" s="69">
        <v>138</v>
      </c>
      <c r="L192" s="32">
        <v>3</v>
      </c>
      <c r="M192" s="16">
        <v>3</v>
      </c>
      <c r="N192" s="33" t="s">
        <v>110</v>
      </c>
      <c r="O192" s="17"/>
      <c r="P192" s="17">
        <v>1</v>
      </c>
      <c r="Q192" s="25"/>
      <c r="R192" s="18"/>
      <c r="S192" s="19"/>
    </row>
    <row r="193" spans="1:20" ht="34.5" customHeight="1" thickBot="1" x14ac:dyDescent="0.45">
      <c r="A193" s="52">
        <v>190</v>
      </c>
      <c r="B193" s="80"/>
      <c r="C193" s="76" t="s">
        <v>221</v>
      </c>
      <c r="D193" s="93" t="s">
        <v>222</v>
      </c>
      <c r="E193" s="13"/>
      <c r="F193" s="125" t="s">
        <v>181</v>
      </c>
      <c r="G193" s="55" t="s">
        <v>122</v>
      </c>
      <c r="H193" s="88"/>
      <c r="I193" s="88"/>
      <c r="J193" s="72">
        <v>63.3333333</v>
      </c>
      <c r="K193" s="69">
        <v>776.93</v>
      </c>
      <c r="L193" s="32">
        <v>3</v>
      </c>
      <c r="M193" s="16">
        <v>3</v>
      </c>
      <c r="N193" s="33" t="s">
        <v>110</v>
      </c>
      <c r="O193" s="17"/>
      <c r="P193" s="17">
        <v>1</v>
      </c>
      <c r="Q193" s="25"/>
      <c r="R193" s="18"/>
      <c r="S193" s="19"/>
    </row>
    <row r="194" spans="1:20" ht="34.5" customHeight="1" thickBot="1" x14ac:dyDescent="0.45">
      <c r="A194" s="52">
        <v>191</v>
      </c>
      <c r="B194" s="80"/>
      <c r="C194" s="76" t="s">
        <v>221</v>
      </c>
      <c r="D194" s="93" t="s">
        <v>222</v>
      </c>
      <c r="E194" s="13"/>
      <c r="F194" s="125" t="s">
        <v>181</v>
      </c>
      <c r="G194" s="55" t="s">
        <v>219</v>
      </c>
      <c r="H194" s="88"/>
      <c r="I194" s="88"/>
      <c r="J194" s="72">
        <v>66.45</v>
      </c>
      <c r="K194" s="69">
        <v>196</v>
      </c>
      <c r="L194" s="32">
        <v>3</v>
      </c>
      <c r="M194" s="16">
        <v>3</v>
      </c>
      <c r="N194" s="33" t="s">
        <v>110</v>
      </c>
      <c r="O194" s="17"/>
      <c r="P194" s="17">
        <v>1</v>
      </c>
      <c r="Q194" s="25"/>
      <c r="R194" s="18"/>
      <c r="S194" s="19"/>
    </row>
    <row r="195" spans="1:20" ht="34.5" customHeight="1" thickBot="1" x14ac:dyDescent="0.45">
      <c r="A195" s="52">
        <v>192</v>
      </c>
      <c r="B195" s="80"/>
      <c r="C195" s="76" t="s">
        <v>221</v>
      </c>
      <c r="D195" s="93" t="s">
        <v>222</v>
      </c>
      <c r="E195" s="13"/>
      <c r="F195" s="125" t="s">
        <v>181</v>
      </c>
      <c r="G195" s="55" t="s">
        <v>123</v>
      </c>
      <c r="H195" s="88"/>
      <c r="I195" s="88"/>
      <c r="J195" s="72">
        <v>62.016666600000001</v>
      </c>
      <c r="K195" s="69">
        <v>101</v>
      </c>
      <c r="L195" s="32">
        <v>3</v>
      </c>
      <c r="M195" s="16">
        <v>3</v>
      </c>
      <c r="N195" s="33" t="s">
        <v>110</v>
      </c>
      <c r="O195" s="17"/>
      <c r="P195" s="17">
        <v>1</v>
      </c>
      <c r="Q195" s="25"/>
      <c r="R195" s="18"/>
      <c r="S195" s="19"/>
    </row>
    <row r="196" spans="1:20" ht="34.5" customHeight="1" thickBot="1" x14ac:dyDescent="0.45">
      <c r="A196" s="52">
        <v>193</v>
      </c>
      <c r="B196" s="80"/>
      <c r="C196" s="76" t="s">
        <v>221</v>
      </c>
      <c r="D196" s="93" t="s">
        <v>222</v>
      </c>
      <c r="E196" s="13"/>
      <c r="F196" s="125" t="s">
        <v>181</v>
      </c>
      <c r="G196" s="55" t="s">
        <v>124</v>
      </c>
      <c r="H196" s="88"/>
      <c r="I196" s="88"/>
      <c r="J196" s="72">
        <v>65.3</v>
      </c>
      <c r="K196" s="69">
        <v>674.86</v>
      </c>
      <c r="L196" s="32">
        <v>3</v>
      </c>
      <c r="M196" s="16">
        <v>3</v>
      </c>
      <c r="N196" s="33" t="s">
        <v>110</v>
      </c>
      <c r="O196" s="17"/>
      <c r="P196" s="17">
        <v>1</v>
      </c>
      <c r="Q196" s="25"/>
      <c r="R196" s="18"/>
      <c r="S196" s="19"/>
    </row>
    <row r="197" spans="1:20" ht="34.5" customHeight="1" thickBot="1" x14ac:dyDescent="0.45">
      <c r="A197" s="52">
        <v>194</v>
      </c>
      <c r="B197" s="80"/>
      <c r="C197" s="76" t="s">
        <v>221</v>
      </c>
      <c r="D197" s="93" t="s">
        <v>222</v>
      </c>
      <c r="E197" s="13"/>
      <c r="F197" s="125" t="s">
        <v>182</v>
      </c>
      <c r="G197" s="55" t="s">
        <v>149</v>
      </c>
      <c r="H197" s="88"/>
      <c r="I197" s="88"/>
      <c r="J197" s="72">
        <v>65.233333299999998</v>
      </c>
      <c r="K197" s="69">
        <v>264</v>
      </c>
      <c r="L197" s="32">
        <v>3</v>
      </c>
      <c r="M197" s="16">
        <v>3</v>
      </c>
      <c r="N197" s="33" t="s">
        <v>110</v>
      </c>
      <c r="O197" s="17"/>
      <c r="P197" s="17">
        <v>1</v>
      </c>
      <c r="Q197" s="25"/>
      <c r="R197" s="18"/>
      <c r="S197" s="19"/>
    </row>
    <row r="198" spans="1:20" ht="34.5" customHeight="1" thickBot="1" x14ac:dyDescent="0.45">
      <c r="A198" s="52">
        <v>195</v>
      </c>
      <c r="B198" s="80"/>
      <c r="C198" s="76" t="s">
        <v>221</v>
      </c>
      <c r="D198" s="93" t="s">
        <v>222</v>
      </c>
      <c r="E198" s="13"/>
      <c r="F198" s="125" t="s">
        <v>183</v>
      </c>
      <c r="G198" s="55" t="s">
        <v>150</v>
      </c>
      <c r="H198" s="88"/>
      <c r="I198" s="88"/>
      <c r="J198" s="72">
        <v>62.8</v>
      </c>
      <c r="K198" s="69">
        <v>312.39999999999998</v>
      </c>
      <c r="L198" s="32">
        <v>3</v>
      </c>
      <c r="M198" s="16">
        <v>3</v>
      </c>
      <c r="N198" s="33" t="s">
        <v>110</v>
      </c>
      <c r="O198" s="17"/>
      <c r="P198" s="17">
        <v>1</v>
      </c>
      <c r="Q198" s="25"/>
      <c r="R198" s="18"/>
      <c r="S198" s="19"/>
    </row>
    <row r="199" spans="1:20" ht="34.5" customHeight="1" thickBot="1" x14ac:dyDescent="0.45">
      <c r="A199" s="52">
        <v>196</v>
      </c>
      <c r="B199" s="80"/>
      <c r="C199" s="76" t="s">
        <v>221</v>
      </c>
      <c r="D199" s="93" t="s">
        <v>222</v>
      </c>
      <c r="E199" s="13"/>
      <c r="F199" s="125" t="s">
        <v>453</v>
      </c>
      <c r="G199" s="55" t="s">
        <v>151</v>
      </c>
      <c r="H199" s="88"/>
      <c r="I199" s="88"/>
      <c r="J199" s="72">
        <v>64.266666599999994</v>
      </c>
      <c r="K199" s="69">
        <v>168</v>
      </c>
      <c r="L199" s="32">
        <v>3</v>
      </c>
      <c r="M199" s="16">
        <v>3</v>
      </c>
      <c r="N199" s="33" t="s">
        <v>110</v>
      </c>
      <c r="O199" s="17"/>
      <c r="P199" s="17">
        <v>1</v>
      </c>
      <c r="Q199" s="25"/>
      <c r="R199" s="18"/>
      <c r="S199" s="19"/>
    </row>
    <row r="200" spans="1:20" ht="34.5" customHeight="1" thickBot="1" x14ac:dyDescent="0.45">
      <c r="A200" s="52">
        <v>197</v>
      </c>
      <c r="B200" s="80"/>
      <c r="C200" s="76"/>
      <c r="D200" s="92"/>
      <c r="E200" s="13"/>
      <c r="F200" s="125" t="s">
        <v>447</v>
      </c>
      <c r="G200" s="81" t="s">
        <v>448</v>
      </c>
      <c r="H200" s="88"/>
      <c r="I200" s="88"/>
      <c r="J200" s="72">
        <v>45.51</v>
      </c>
      <c r="K200" s="69">
        <v>839</v>
      </c>
      <c r="L200" s="30">
        <v>1</v>
      </c>
      <c r="M200" s="14">
        <v>1</v>
      </c>
      <c r="N200" s="33" t="s">
        <v>138</v>
      </c>
      <c r="O200" s="17">
        <v>1</v>
      </c>
      <c r="P200" s="17"/>
      <c r="Q200" s="25"/>
      <c r="R200" s="18"/>
      <c r="S200" s="19"/>
    </row>
    <row r="201" spans="1:20" ht="34.5" customHeight="1" thickBot="1" x14ac:dyDescent="0.45">
      <c r="A201" s="52">
        <v>198</v>
      </c>
      <c r="B201" s="80"/>
      <c r="C201" s="76"/>
      <c r="D201" s="92" t="s">
        <v>466</v>
      </c>
      <c r="E201" s="13"/>
      <c r="F201" s="127" t="s">
        <v>468</v>
      </c>
      <c r="G201" s="81" t="s">
        <v>469</v>
      </c>
      <c r="H201" s="163">
        <v>-28.8</v>
      </c>
      <c r="I201" s="109">
        <v>-7.7</v>
      </c>
      <c r="J201" s="72">
        <v>49.03</v>
      </c>
      <c r="K201" s="69">
        <v>705</v>
      </c>
      <c r="L201" s="30">
        <v>1</v>
      </c>
      <c r="M201" s="14">
        <v>1</v>
      </c>
      <c r="N201" s="33" t="s">
        <v>138</v>
      </c>
      <c r="O201" s="17">
        <v>1</v>
      </c>
      <c r="P201" s="17"/>
      <c r="Q201" s="25"/>
      <c r="R201" s="18"/>
      <c r="S201" s="19"/>
    </row>
    <row r="202" spans="1:20" ht="34.5" customHeight="1" thickBot="1" x14ac:dyDescent="0.45">
      <c r="A202" s="52">
        <v>199</v>
      </c>
      <c r="B202" s="80"/>
      <c r="C202" s="76"/>
      <c r="D202" s="92"/>
      <c r="E202" s="13"/>
      <c r="F202" s="126" t="s">
        <v>268</v>
      </c>
      <c r="G202" s="58" t="s">
        <v>430</v>
      </c>
      <c r="H202" s="88"/>
      <c r="I202" s="88"/>
      <c r="J202" s="72">
        <v>47.57</v>
      </c>
      <c r="K202" s="69">
        <v>2113</v>
      </c>
      <c r="L202" s="30">
        <v>2</v>
      </c>
      <c r="M202" s="14">
        <v>2</v>
      </c>
      <c r="N202" s="33" t="s">
        <v>138</v>
      </c>
      <c r="O202" s="17">
        <v>2</v>
      </c>
      <c r="P202" s="17"/>
      <c r="Q202" s="25"/>
      <c r="R202" s="18"/>
      <c r="S202" s="19"/>
      <c r="T202" t="s">
        <v>126</v>
      </c>
    </row>
    <row r="203" spans="1:20" ht="34.5" customHeight="1" thickBot="1" x14ac:dyDescent="0.45">
      <c r="A203" s="52">
        <v>200</v>
      </c>
      <c r="B203" s="80"/>
      <c r="C203" s="76"/>
      <c r="D203" s="92" t="s">
        <v>466</v>
      </c>
      <c r="E203" s="13"/>
      <c r="F203" s="125" t="s">
        <v>230</v>
      </c>
      <c r="G203" s="58" t="s">
        <v>467</v>
      </c>
      <c r="H203" s="163">
        <v>-28.8</v>
      </c>
      <c r="I203" s="120" t="s">
        <v>470</v>
      </c>
      <c r="J203" s="72">
        <v>52.76</v>
      </c>
      <c r="K203" s="69">
        <v>550</v>
      </c>
      <c r="L203" s="30">
        <v>1</v>
      </c>
      <c r="M203" s="14">
        <v>1</v>
      </c>
      <c r="N203" s="33" t="s">
        <v>306</v>
      </c>
      <c r="O203" s="17">
        <v>1</v>
      </c>
      <c r="P203" s="17"/>
      <c r="Q203" s="25"/>
      <c r="R203" s="18"/>
      <c r="S203" s="19"/>
    </row>
    <row r="204" spans="1:20" ht="34.5" customHeight="1" thickBot="1" x14ac:dyDescent="0.45">
      <c r="A204" s="52">
        <v>201</v>
      </c>
      <c r="B204" s="80"/>
      <c r="C204" s="76"/>
      <c r="D204" s="92"/>
      <c r="E204" s="13"/>
      <c r="F204" s="125" t="s">
        <v>462</v>
      </c>
      <c r="G204" s="58" t="s">
        <v>463</v>
      </c>
      <c r="H204" s="88"/>
      <c r="I204" s="88"/>
      <c r="J204" s="72">
        <v>38.81</v>
      </c>
      <c r="K204" s="69">
        <v>3364</v>
      </c>
      <c r="L204" s="30">
        <v>1</v>
      </c>
      <c r="M204" s="14">
        <v>1</v>
      </c>
      <c r="N204" s="33" t="s">
        <v>138</v>
      </c>
      <c r="O204" s="17">
        <v>1</v>
      </c>
      <c r="P204" s="17"/>
      <c r="Q204" s="25"/>
      <c r="R204" s="18"/>
      <c r="S204" s="19"/>
    </row>
    <row r="205" spans="1:20" ht="34.5" customHeight="1" thickBot="1" x14ac:dyDescent="0.45">
      <c r="A205" s="52">
        <v>202</v>
      </c>
      <c r="B205" s="80"/>
      <c r="C205" s="76"/>
      <c r="D205" s="92"/>
      <c r="E205" s="13"/>
      <c r="F205" s="125" t="s">
        <v>458</v>
      </c>
      <c r="G205" s="58" t="s">
        <v>459</v>
      </c>
      <c r="H205" s="88"/>
      <c r="I205" s="88"/>
      <c r="J205" s="72">
        <v>51.67</v>
      </c>
      <c r="K205" s="69">
        <v>502</v>
      </c>
      <c r="L205" s="30">
        <v>1</v>
      </c>
      <c r="M205" s="14">
        <v>1</v>
      </c>
      <c r="N205" s="33" t="s">
        <v>138</v>
      </c>
      <c r="O205" s="17">
        <v>1</v>
      </c>
      <c r="P205" s="17"/>
      <c r="Q205" s="25"/>
      <c r="R205" s="18"/>
      <c r="S205" s="19"/>
    </row>
    <row r="206" spans="1:20" ht="34.5" customHeight="1" thickBot="1" x14ac:dyDescent="0.45">
      <c r="A206" s="52">
        <v>203</v>
      </c>
      <c r="B206" s="80"/>
      <c r="C206" s="76"/>
      <c r="D206" s="92"/>
      <c r="E206" s="13"/>
      <c r="F206" s="125" t="s">
        <v>279</v>
      </c>
      <c r="G206" s="82" t="s">
        <v>461</v>
      </c>
      <c r="H206" s="88"/>
      <c r="I206" s="88"/>
      <c r="J206" s="72">
        <v>47.862580000000001</v>
      </c>
      <c r="K206" s="69">
        <v>2157</v>
      </c>
      <c r="L206" s="30">
        <v>1</v>
      </c>
      <c r="M206" s="14">
        <v>1</v>
      </c>
      <c r="N206" s="33" t="s">
        <v>138</v>
      </c>
      <c r="O206" s="17"/>
      <c r="P206" s="17"/>
      <c r="Q206" s="25">
        <v>1</v>
      </c>
      <c r="R206" s="18"/>
      <c r="S206" s="19"/>
    </row>
    <row r="207" spans="1:20" ht="34.5" customHeight="1" thickBot="1" x14ac:dyDescent="0.45">
      <c r="A207" s="52">
        <v>204</v>
      </c>
      <c r="B207" s="80"/>
      <c r="C207" s="76"/>
      <c r="D207" s="92"/>
      <c r="E207" s="13"/>
      <c r="F207" s="125" t="s">
        <v>347</v>
      </c>
      <c r="G207" s="82" t="s">
        <v>460</v>
      </c>
      <c r="H207" s="88"/>
      <c r="I207" s="88"/>
      <c r="J207" s="72">
        <v>47.52</v>
      </c>
      <c r="K207" s="69">
        <v>2288</v>
      </c>
      <c r="L207" s="30">
        <v>1</v>
      </c>
      <c r="M207" s="14">
        <v>1</v>
      </c>
      <c r="N207" s="33" t="s">
        <v>343</v>
      </c>
      <c r="O207" s="17"/>
      <c r="P207" s="17"/>
      <c r="Q207" s="25">
        <v>1</v>
      </c>
      <c r="R207" s="18"/>
      <c r="S207" s="19"/>
    </row>
    <row r="208" spans="1:20" ht="34.5" customHeight="1" thickBot="1" x14ac:dyDescent="0.45">
      <c r="A208" s="52">
        <v>205</v>
      </c>
      <c r="B208" s="80"/>
      <c r="C208" s="76"/>
      <c r="D208" s="92"/>
      <c r="E208" s="13"/>
      <c r="F208" s="125" t="s">
        <v>338</v>
      </c>
      <c r="G208" s="82" t="s">
        <v>358</v>
      </c>
      <c r="H208" s="88"/>
      <c r="I208" s="88"/>
      <c r="J208" s="72">
        <v>47.507070431666001</v>
      </c>
      <c r="K208" s="69">
        <v>1137</v>
      </c>
      <c r="L208" s="30">
        <v>1</v>
      </c>
      <c r="M208" s="14">
        <v>1</v>
      </c>
      <c r="N208" s="33" t="s">
        <v>343</v>
      </c>
      <c r="O208" s="17"/>
      <c r="P208" s="17"/>
      <c r="Q208" s="25">
        <v>1</v>
      </c>
      <c r="R208" s="18"/>
      <c r="S208" s="19"/>
    </row>
    <row r="209" spans="1:19" ht="34.5" customHeight="1" thickBot="1" x14ac:dyDescent="0.45">
      <c r="A209" s="52">
        <v>206</v>
      </c>
      <c r="B209" s="80"/>
      <c r="C209" s="76"/>
      <c r="D209" s="92"/>
      <c r="E209" s="13"/>
      <c r="F209" s="125" t="s">
        <v>359</v>
      </c>
      <c r="G209" s="82" t="s">
        <v>360</v>
      </c>
      <c r="H209" s="88"/>
      <c r="I209" s="88"/>
      <c r="J209" s="72" t="s">
        <v>361</v>
      </c>
      <c r="K209" s="69" t="s">
        <v>362</v>
      </c>
      <c r="L209" s="30">
        <v>1</v>
      </c>
      <c r="M209" s="14">
        <v>1</v>
      </c>
      <c r="N209" s="33" t="s">
        <v>138</v>
      </c>
      <c r="O209" s="17"/>
      <c r="P209" s="17"/>
      <c r="Q209" s="25">
        <v>1</v>
      </c>
      <c r="R209" s="18"/>
      <c r="S209" s="19"/>
    </row>
    <row r="210" spans="1:19" ht="34.5" customHeight="1" thickBot="1" x14ac:dyDescent="0.45">
      <c r="A210" s="52">
        <v>207</v>
      </c>
      <c r="B210" s="80"/>
      <c r="C210" s="76"/>
      <c r="D210" s="92"/>
      <c r="E210" s="13"/>
      <c r="F210" s="125" t="s">
        <v>363</v>
      </c>
      <c r="G210" s="82" t="s">
        <v>364</v>
      </c>
      <c r="H210" s="88"/>
      <c r="I210" s="88"/>
      <c r="J210" s="72" t="s">
        <v>365</v>
      </c>
      <c r="K210" s="69" t="s">
        <v>366</v>
      </c>
      <c r="L210" s="30">
        <v>1</v>
      </c>
      <c r="M210" s="14">
        <v>1</v>
      </c>
      <c r="N210" s="33" t="s">
        <v>138</v>
      </c>
      <c r="O210" s="17"/>
      <c r="P210" s="17"/>
      <c r="Q210" s="25">
        <v>1</v>
      </c>
      <c r="R210" s="18"/>
      <c r="S210" s="19"/>
    </row>
    <row r="211" spans="1:19" ht="34.5" customHeight="1" thickBot="1" x14ac:dyDescent="0.45">
      <c r="A211" s="52">
        <v>208</v>
      </c>
      <c r="B211" s="80"/>
      <c r="C211" s="76"/>
      <c r="D211" s="92"/>
      <c r="E211" s="13"/>
      <c r="F211" s="125" t="s">
        <v>367</v>
      </c>
      <c r="G211" s="82" t="s">
        <v>368</v>
      </c>
      <c r="H211" s="88"/>
      <c r="I211" s="88"/>
      <c r="J211" s="72" t="s">
        <v>369</v>
      </c>
      <c r="K211" s="69" t="s">
        <v>370</v>
      </c>
      <c r="L211" s="30">
        <v>1</v>
      </c>
      <c r="M211" s="14">
        <v>1</v>
      </c>
      <c r="N211" s="33" t="s">
        <v>138</v>
      </c>
      <c r="O211" s="17"/>
      <c r="P211" s="17"/>
      <c r="Q211" s="25">
        <v>1</v>
      </c>
      <c r="R211" s="18"/>
      <c r="S211" s="19"/>
    </row>
    <row r="212" spans="1:19" ht="34.5" customHeight="1" thickBot="1" x14ac:dyDescent="0.45">
      <c r="A212" s="52">
        <v>209</v>
      </c>
      <c r="B212" s="80"/>
      <c r="C212" s="76"/>
      <c r="D212" s="92"/>
      <c r="E212" s="13"/>
      <c r="F212" s="125" t="s">
        <v>156</v>
      </c>
      <c r="G212" s="82" t="s">
        <v>371</v>
      </c>
      <c r="H212" s="88"/>
      <c r="I212" s="88"/>
      <c r="J212" s="72" t="s">
        <v>372</v>
      </c>
      <c r="K212" s="69" t="s">
        <v>373</v>
      </c>
      <c r="L212" s="30">
        <v>1</v>
      </c>
      <c r="M212" s="14">
        <v>1</v>
      </c>
      <c r="N212" s="33" t="s">
        <v>138</v>
      </c>
      <c r="O212" s="17"/>
      <c r="P212" s="17"/>
      <c r="Q212" s="25">
        <v>1</v>
      </c>
      <c r="R212" s="18"/>
      <c r="S212" s="19"/>
    </row>
    <row r="213" spans="1:19" ht="34.5" customHeight="1" thickBot="1" x14ac:dyDescent="0.45">
      <c r="A213" s="52">
        <v>210</v>
      </c>
      <c r="B213" s="80"/>
      <c r="C213" s="76"/>
      <c r="D213" s="92"/>
      <c r="E213" s="13"/>
      <c r="F213" s="125" t="s">
        <v>374</v>
      </c>
      <c r="G213" s="82" t="s">
        <v>375</v>
      </c>
      <c r="H213" s="88"/>
      <c r="I213" s="88"/>
      <c r="J213" s="72" t="s">
        <v>376</v>
      </c>
      <c r="K213" s="69" t="s">
        <v>377</v>
      </c>
      <c r="L213" s="30">
        <v>1</v>
      </c>
      <c r="M213" s="14">
        <v>1</v>
      </c>
      <c r="N213" s="33" t="s">
        <v>138</v>
      </c>
      <c r="O213" s="17"/>
      <c r="P213" s="17"/>
      <c r="Q213" s="25">
        <v>1</v>
      </c>
      <c r="R213" s="18"/>
      <c r="S213" s="19"/>
    </row>
    <row r="214" spans="1:19" ht="34.5" customHeight="1" thickBot="1" x14ac:dyDescent="0.45">
      <c r="A214" s="52">
        <v>211</v>
      </c>
      <c r="B214" s="80"/>
      <c r="C214" s="76"/>
      <c r="D214" s="92"/>
      <c r="E214" s="13"/>
      <c r="F214" s="125" t="s">
        <v>378</v>
      </c>
      <c r="G214" s="82" t="s">
        <v>36</v>
      </c>
      <c r="H214" s="88"/>
      <c r="I214" s="88"/>
      <c r="J214" s="72" t="s">
        <v>379</v>
      </c>
      <c r="K214" s="69" t="s">
        <v>380</v>
      </c>
      <c r="L214" s="30">
        <v>1</v>
      </c>
      <c r="M214" s="14">
        <v>1</v>
      </c>
      <c r="N214" s="33" t="s">
        <v>138</v>
      </c>
      <c r="O214" s="17"/>
      <c r="P214" s="17"/>
      <c r="Q214" s="25">
        <v>1</v>
      </c>
      <c r="R214" s="18"/>
      <c r="S214" s="19"/>
    </row>
    <row r="215" spans="1:19" ht="34.5" customHeight="1" thickBot="1" x14ac:dyDescent="0.45">
      <c r="A215" s="52">
        <v>212</v>
      </c>
      <c r="B215" s="80"/>
      <c r="C215" s="76"/>
      <c r="D215" s="92"/>
      <c r="E215" s="13"/>
      <c r="F215" s="125" t="s">
        <v>443</v>
      </c>
      <c r="G215" s="58" t="s">
        <v>444</v>
      </c>
      <c r="H215" s="88"/>
      <c r="I215" s="88"/>
      <c r="J215" s="72">
        <v>34.270000000000003</v>
      </c>
      <c r="K215" s="69">
        <v>4156</v>
      </c>
      <c r="L215" s="30">
        <v>1</v>
      </c>
      <c r="M215" s="14">
        <v>1</v>
      </c>
      <c r="N215" s="33" t="s">
        <v>306</v>
      </c>
      <c r="O215" s="17">
        <v>1</v>
      </c>
      <c r="P215" s="17"/>
      <c r="Q215" s="25"/>
      <c r="R215" s="18"/>
      <c r="S215" s="19"/>
    </row>
    <row r="216" spans="1:19" ht="34.5" customHeight="1" thickBot="1" x14ac:dyDescent="0.45">
      <c r="A216" s="52">
        <v>213</v>
      </c>
      <c r="B216" s="80"/>
      <c r="C216" s="76"/>
      <c r="D216" s="92"/>
      <c r="E216" s="13"/>
      <c r="F216" s="125" t="s">
        <v>333</v>
      </c>
      <c r="G216" s="58" t="s">
        <v>445</v>
      </c>
      <c r="H216" s="88"/>
      <c r="I216" s="88"/>
      <c r="J216" s="72">
        <v>50.88</v>
      </c>
      <c r="K216" s="69">
        <v>740</v>
      </c>
      <c r="L216" s="30">
        <v>1</v>
      </c>
      <c r="M216" s="14">
        <v>1</v>
      </c>
      <c r="N216" s="33" t="s">
        <v>306</v>
      </c>
      <c r="O216" s="17">
        <v>1</v>
      </c>
      <c r="P216" s="17"/>
      <c r="Q216" s="25"/>
      <c r="R216" s="18"/>
      <c r="S216" s="19"/>
    </row>
    <row r="217" spans="1:19" ht="34.5" customHeight="1" thickBot="1" x14ac:dyDescent="0.45">
      <c r="A217" s="52">
        <v>214</v>
      </c>
      <c r="B217" s="80"/>
      <c r="C217" s="76"/>
      <c r="D217" s="92"/>
      <c r="E217" s="13"/>
      <c r="F217" s="125" t="s">
        <v>322</v>
      </c>
      <c r="G217" s="58" t="s">
        <v>381</v>
      </c>
      <c r="H217" s="88"/>
      <c r="I217" s="88"/>
      <c r="J217" s="72">
        <v>39.06</v>
      </c>
      <c r="K217" s="69">
        <v>2544</v>
      </c>
      <c r="L217" s="30">
        <v>2</v>
      </c>
      <c r="M217" s="14">
        <v>2</v>
      </c>
      <c r="N217" s="33" t="s">
        <v>306</v>
      </c>
      <c r="O217" s="17">
        <v>2</v>
      </c>
      <c r="P217" s="17"/>
      <c r="Q217" s="25"/>
      <c r="R217" s="18"/>
      <c r="S217" s="19"/>
    </row>
    <row r="218" spans="1:19" ht="34.5" customHeight="1" thickBot="1" x14ac:dyDescent="0.45">
      <c r="A218" s="52">
        <v>215</v>
      </c>
      <c r="B218" s="80"/>
      <c r="C218" s="76"/>
      <c r="D218" s="92"/>
      <c r="E218" s="13"/>
      <c r="F218" s="125" t="s">
        <v>464</v>
      </c>
      <c r="G218" s="58" t="s">
        <v>465</v>
      </c>
      <c r="H218" s="88"/>
      <c r="I218" s="88"/>
      <c r="J218" s="72">
        <v>48.58</v>
      </c>
      <c r="K218" s="69">
        <v>405</v>
      </c>
      <c r="L218" s="30">
        <v>1</v>
      </c>
      <c r="M218" s="14">
        <v>1</v>
      </c>
      <c r="N218" s="33" t="s">
        <v>306</v>
      </c>
      <c r="O218" s="17">
        <v>1</v>
      </c>
      <c r="P218" s="17"/>
      <c r="Q218" s="25"/>
      <c r="R218" s="18"/>
      <c r="S218" s="19"/>
    </row>
    <row r="219" spans="1:19" ht="34.5" customHeight="1" thickBot="1" x14ac:dyDescent="0.45">
      <c r="A219" s="52">
        <v>216</v>
      </c>
      <c r="B219" s="80"/>
      <c r="C219" s="76"/>
      <c r="D219" s="92"/>
      <c r="E219" s="13"/>
      <c r="F219" s="125" t="s">
        <v>297</v>
      </c>
      <c r="G219" s="82" t="s">
        <v>431</v>
      </c>
      <c r="H219" s="88"/>
      <c r="I219" s="88"/>
      <c r="J219" s="72">
        <v>47.79</v>
      </c>
      <c r="K219" s="69">
        <v>1429</v>
      </c>
      <c r="L219" s="30">
        <v>1</v>
      </c>
      <c r="M219" s="14">
        <v>1</v>
      </c>
      <c r="N219" s="33" t="s">
        <v>306</v>
      </c>
      <c r="O219" s="17"/>
      <c r="P219" s="17"/>
      <c r="Q219" s="25">
        <v>1</v>
      </c>
      <c r="R219" s="18"/>
      <c r="S219" s="19"/>
    </row>
    <row r="220" spans="1:19" ht="34.5" customHeight="1" thickBot="1" x14ac:dyDescent="0.45">
      <c r="A220" s="52">
        <v>217</v>
      </c>
      <c r="B220" s="80"/>
      <c r="C220" s="76"/>
      <c r="D220" s="92"/>
      <c r="E220" s="13"/>
      <c r="F220" s="125" t="s">
        <v>334</v>
      </c>
      <c r="G220" s="82" t="s">
        <v>432</v>
      </c>
      <c r="H220" s="88"/>
      <c r="I220" s="88"/>
      <c r="J220" s="72">
        <v>46.76</v>
      </c>
      <c r="K220" s="69">
        <v>1751</v>
      </c>
      <c r="L220" s="30">
        <v>1</v>
      </c>
      <c r="M220" s="14">
        <v>1</v>
      </c>
      <c r="N220" s="33" t="s">
        <v>306</v>
      </c>
      <c r="O220" s="17"/>
      <c r="P220" s="17"/>
      <c r="Q220" s="25">
        <v>1</v>
      </c>
      <c r="R220" s="18"/>
      <c r="S220" s="19"/>
    </row>
    <row r="221" spans="1:19" ht="34.5" customHeight="1" thickBot="1" x14ac:dyDescent="0.45">
      <c r="A221" s="52">
        <v>218</v>
      </c>
      <c r="B221" s="80"/>
      <c r="C221" s="76"/>
      <c r="D221" s="92"/>
      <c r="E221" s="13"/>
      <c r="F221" s="125" t="s">
        <v>334</v>
      </c>
      <c r="G221" s="82" t="s">
        <v>433</v>
      </c>
      <c r="H221" s="88"/>
      <c r="I221" s="88"/>
      <c r="J221" s="72">
        <v>46.98</v>
      </c>
      <c r="K221" s="69">
        <v>1500</v>
      </c>
      <c r="L221" s="30">
        <v>1</v>
      </c>
      <c r="M221" s="14">
        <v>1</v>
      </c>
      <c r="N221" s="33" t="s">
        <v>306</v>
      </c>
      <c r="O221" s="17"/>
      <c r="P221" s="17"/>
      <c r="Q221" s="25">
        <v>1</v>
      </c>
      <c r="R221" s="18"/>
      <c r="S221" s="19"/>
    </row>
    <row r="222" spans="1:19" ht="34.5" customHeight="1" thickBot="1" x14ac:dyDescent="0.45">
      <c r="A222" s="52">
        <v>219</v>
      </c>
      <c r="B222" s="80"/>
      <c r="C222" s="76"/>
      <c r="D222" s="92"/>
      <c r="E222" s="13"/>
      <c r="F222" s="125" t="s">
        <v>434</v>
      </c>
      <c r="G222" s="82" t="s">
        <v>435</v>
      </c>
      <c r="H222" s="88"/>
      <c r="I222" s="88"/>
      <c r="J222" s="72">
        <v>43.31</v>
      </c>
      <c r="K222" s="69">
        <v>1821</v>
      </c>
      <c r="L222" s="30">
        <v>1</v>
      </c>
      <c r="M222" s="14">
        <v>1</v>
      </c>
      <c r="N222" s="33" t="s">
        <v>306</v>
      </c>
      <c r="O222" s="17"/>
      <c r="P222" s="17"/>
      <c r="Q222" s="25">
        <v>1</v>
      </c>
      <c r="R222" s="18"/>
      <c r="S222" s="19"/>
    </row>
    <row r="223" spans="1:19" ht="34.5" customHeight="1" thickBot="1" x14ac:dyDescent="0.45">
      <c r="A223" s="52">
        <v>220</v>
      </c>
      <c r="B223" s="80"/>
      <c r="C223" s="76"/>
      <c r="D223" s="92"/>
      <c r="E223" s="13"/>
      <c r="F223" s="125" t="s">
        <v>436</v>
      </c>
      <c r="G223" s="82" t="s">
        <v>437</v>
      </c>
      <c r="H223" s="88"/>
      <c r="I223" s="88"/>
      <c r="J223" s="72">
        <v>45.46</v>
      </c>
      <c r="K223" s="69">
        <v>1317</v>
      </c>
      <c r="L223" s="30">
        <v>1</v>
      </c>
      <c r="M223" s="14">
        <v>1</v>
      </c>
      <c r="N223" s="33" t="s">
        <v>306</v>
      </c>
      <c r="O223" s="17"/>
      <c r="P223" s="17"/>
      <c r="Q223" s="25">
        <v>1</v>
      </c>
      <c r="R223" s="18"/>
      <c r="S223" s="19"/>
    </row>
    <row r="224" spans="1:19" ht="34.5" customHeight="1" thickBot="1" x14ac:dyDescent="0.45">
      <c r="A224" s="52">
        <v>221</v>
      </c>
      <c r="B224" s="80"/>
      <c r="C224" s="76"/>
      <c r="D224" s="92"/>
      <c r="E224" s="13"/>
      <c r="F224" s="125" t="s">
        <v>439</v>
      </c>
      <c r="G224" s="82" t="s">
        <v>438</v>
      </c>
      <c r="H224" s="88"/>
      <c r="I224" s="88"/>
      <c r="J224" s="72">
        <v>47.83</v>
      </c>
      <c r="K224" s="69">
        <v>972</v>
      </c>
      <c r="L224" s="30">
        <v>1</v>
      </c>
      <c r="M224" s="14">
        <v>1</v>
      </c>
      <c r="N224" s="33" t="s">
        <v>306</v>
      </c>
      <c r="O224" s="17"/>
      <c r="P224" s="17"/>
      <c r="Q224" s="25">
        <v>1</v>
      </c>
      <c r="R224" s="18"/>
      <c r="S224" s="19"/>
    </row>
    <row r="225" spans="1:19" ht="34.5" customHeight="1" thickBot="1" x14ac:dyDescent="0.45">
      <c r="A225" s="52">
        <v>222</v>
      </c>
      <c r="B225" s="80"/>
      <c r="C225" s="76"/>
      <c r="D225" s="92"/>
      <c r="E225" s="13"/>
      <c r="F225" s="125" t="s">
        <v>441</v>
      </c>
      <c r="G225" s="82" t="s">
        <v>440</v>
      </c>
      <c r="H225" s="88"/>
      <c r="I225" s="88"/>
      <c r="J225" s="72">
        <v>49.245056200000001</v>
      </c>
      <c r="K225" s="69">
        <v>919</v>
      </c>
      <c r="L225" s="30">
        <v>1</v>
      </c>
      <c r="M225" s="14">
        <v>1</v>
      </c>
      <c r="N225" s="33" t="s">
        <v>306</v>
      </c>
      <c r="O225" s="17"/>
      <c r="P225" s="17"/>
      <c r="Q225" s="25">
        <v>1</v>
      </c>
      <c r="R225" s="18"/>
      <c r="S225" s="19"/>
    </row>
    <row r="226" spans="1:19" ht="34.5" customHeight="1" thickBot="1" x14ac:dyDescent="0.45">
      <c r="A226" s="52">
        <v>223</v>
      </c>
      <c r="B226" s="80"/>
      <c r="C226" s="76"/>
      <c r="D226" s="92"/>
      <c r="E226" s="13"/>
      <c r="F226" s="125" t="s">
        <v>336</v>
      </c>
      <c r="G226" s="82" t="s">
        <v>442</v>
      </c>
      <c r="H226" s="88"/>
      <c r="I226" s="88"/>
      <c r="J226" s="72">
        <v>46.917304999999999</v>
      </c>
      <c r="K226" s="69">
        <v>1275</v>
      </c>
      <c r="L226" s="30">
        <v>1</v>
      </c>
      <c r="M226" s="14">
        <v>1</v>
      </c>
      <c r="N226" s="33" t="s">
        <v>306</v>
      </c>
      <c r="O226" s="17"/>
      <c r="P226" s="17"/>
      <c r="Q226" s="25">
        <v>1</v>
      </c>
      <c r="R226" s="18"/>
      <c r="S226" s="19"/>
    </row>
  </sheetData>
  <sortState xmlns:xlrd2="http://schemas.microsoft.com/office/spreadsheetml/2017/richdata2" ref="A4:S238">
    <sortCondition ref="A4:A253"/>
    <sortCondition ref="N4:N253"/>
    <sortCondition ref="H4:H253"/>
    <sortCondition ref="I4:I25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T24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5.59765625" customWidth="1"/>
    <col min="5" max="5" width="22.59765625" customWidth="1"/>
    <col min="6" max="7" width="20.59765625" customWidth="1"/>
    <col min="8" max="8" width="10.59765625" style="48" customWidth="1"/>
    <col min="9" max="9" width="10.59765625" customWidth="1"/>
    <col min="10" max="17" width="3.59765625" customWidth="1"/>
    <col min="18" max="18" width="2.59765625" customWidth="1"/>
    <col min="19" max="19" width="16.59765625" customWidth="1"/>
  </cols>
  <sheetData>
    <row r="1" spans="1:20" ht="24" customHeight="1" x14ac:dyDescent="0.4">
      <c r="A1" s="152" t="s">
        <v>113</v>
      </c>
      <c r="B1" s="153"/>
      <c r="C1" s="154"/>
      <c r="D1" s="155" t="s">
        <v>0</v>
      </c>
      <c r="E1" s="156"/>
      <c r="F1" s="159" t="s">
        <v>417</v>
      </c>
      <c r="G1" s="159"/>
      <c r="H1" s="159"/>
      <c r="I1" s="160"/>
      <c r="M1" s="6"/>
      <c r="N1" s="28" t="s">
        <v>136</v>
      </c>
      <c r="P1" t="s">
        <v>144</v>
      </c>
    </row>
    <row r="2" spans="1:20" ht="44" customHeight="1" thickBot="1" x14ac:dyDescent="0.45">
      <c r="A2" s="153"/>
      <c r="B2" s="153"/>
      <c r="C2" s="154"/>
      <c r="D2" s="157">
        <v>45958</v>
      </c>
      <c r="E2" s="158"/>
      <c r="F2" s="161"/>
      <c r="G2" s="161"/>
      <c r="H2" s="161"/>
      <c r="I2" s="162"/>
      <c r="J2" s="21"/>
      <c r="K2" s="21" t="s">
        <v>135</v>
      </c>
      <c r="L2" s="21"/>
      <c r="M2" s="21">
        <v>1</v>
      </c>
      <c r="N2" s="21">
        <v>2</v>
      </c>
      <c r="O2" s="21">
        <v>3</v>
      </c>
      <c r="P2" s="27" t="s">
        <v>143</v>
      </c>
      <c r="Q2" s="27" t="s">
        <v>142</v>
      </c>
      <c r="R2" s="1"/>
      <c r="S2" s="22" t="s">
        <v>141</v>
      </c>
    </row>
    <row r="3" spans="1:20" ht="40.049999999999997" customHeight="1" thickBot="1" x14ac:dyDescent="0.45">
      <c r="A3" s="8" t="s">
        <v>92</v>
      </c>
      <c r="B3" s="34" t="s">
        <v>127</v>
      </c>
      <c r="C3" s="29" t="s">
        <v>100</v>
      </c>
      <c r="D3" s="103" t="s">
        <v>1</v>
      </c>
      <c r="E3" s="10" t="s">
        <v>2</v>
      </c>
      <c r="F3" s="83" t="s">
        <v>422</v>
      </c>
      <c r="G3" s="83" t="s">
        <v>423</v>
      </c>
      <c r="H3" s="101" t="s">
        <v>317</v>
      </c>
      <c r="I3" s="102" t="s">
        <v>185</v>
      </c>
      <c r="J3" s="35" t="s">
        <v>145</v>
      </c>
      <c r="K3" s="36" t="s">
        <v>137</v>
      </c>
      <c r="L3" s="35" t="s">
        <v>104</v>
      </c>
      <c r="M3" s="37" t="s">
        <v>130</v>
      </c>
      <c r="N3" s="38" t="s">
        <v>134</v>
      </c>
      <c r="O3" s="39" t="s">
        <v>129</v>
      </c>
      <c r="P3" s="39" t="s">
        <v>131</v>
      </c>
      <c r="Q3" s="40" t="s">
        <v>132</v>
      </c>
      <c r="R3" s="1"/>
      <c r="S3" s="23" t="s">
        <v>140</v>
      </c>
      <c r="T3" s="2"/>
    </row>
    <row r="4" spans="1:20" ht="51" customHeight="1" thickBot="1" x14ac:dyDescent="0.45">
      <c r="A4" s="12">
        <v>1</v>
      </c>
      <c r="B4" s="26" t="str">
        <f t="shared" ref="B4:B15" si="0">IF( OR( TRIM($F4)&lt;&gt;"", TRIM($G4)&lt;&gt;""), "1", "2" )</f>
        <v>2</v>
      </c>
      <c r="C4" s="13"/>
      <c r="D4" s="94" t="s">
        <v>414</v>
      </c>
      <c r="E4" s="4" t="s">
        <v>416</v>
      </c>
      <c r="F4" s="121"/>
      <c r="G4" s="121"/>
      <c r="H4" s="97" t="s">
        <v>385</v>
      </c>
      <c r="I4" s="98" t="s">
        <v>391</v>
      </c>
      <c r="J4" s="30">
        <v>1</v>
      </c>
      <c r="K4" s="14">
        <v>1</v>
      </c>
      <c r="L4" s="33" t="s">
        <v>96</v>
      </c>
      <c r="M4" s="17"/>
      <c r="N4" s="17"/>
      <c r="O4" s="25">
        <v>1</v>
      </c>
      <c r="P4" s="18"/>
      <c r="Q4" s="19"/>
      <c r="R4" s="1"/>
      <c r="S4" s="23" t="s">
        <v>139</v>
      </c>
    </row>
    <row r="5" spans="1:20" ht="51" customHeight="1" thickBot="1" x14ac:dyDescent="0.45">
      <c r="A5" s="12">
        <v>2</v>
      </c>
      <c r="B5" s="26" t="str">
        <f t="shared" si="0"/>
        <v>2</v>
      </c>
      <c r="C5" s="13"/>
      <c r="D5" s="94" t="s">
        <v>413</v>
      </c>
      <c r="E5" s="4" t="s">
        <v>4</v>
      </c>
      <c r="F5" s="121"/>
      <c r="G5" s="121"/>
      <c r="H5" s="97" t="s">
        <v>392</v>
      </c>
      <c r="I5" s="99" t="s">
        <v>393</v>
      </c>
      <c r="J5" s="30">
        <v>1</v>
      </c>
      <c r="K5" s="14">
        <v>1</v>
      </c>
      <c r="L5" s="33" t="s">
        <v>96</v>
      </c>
      <c r="M5" s="17"/>
      <c r="N5" s="17"/>
      <c r="O5" s="25">
        <v>1</v>
      </c>
      <c r="P5" s="18"/>
      <c r="Q5" s="19"/>
      <c r="R5" s="1"/>
      <c r="S5" s="24" t="s">
        <v>133</v>
      </c>
    </row>
    <row r="6" spans="1:20" ht="51" customHeight="1" thickBot="1" x14ac:dyDescent="0.45">
      <c r="A6" s="12">
        <v>3</v>
      </c>
      <c r="B6" s="26" t="str">
        <f t="shared" si="0"/>
        <v>2</v>
      </c>
      <c r="C6" s="13"/>
      <c r="D6" s="94" t="s">
        <v>412</v>
      </c>
      <c r="E6" s="4" t="s">
        <v>9</v>
      </c>
      <c r="F6" s="121"/>
      <c r="G6" s="121"/>
      <c r="H6" s="97" t="s">
        <v>394</v>
      </c>
      <c r="I6" s="99" t="s">
        <v>395</v>
      </c>
      <c r="J6" s="30">
        <v>1</v>
      </c>
      <c r="K6" s="14">
        <v>1</v>
      </c>
      <c r="L6" s="33" t="s">
        <v>96</v>
      </c>
      <c r="M6" s="17"/>
      <c r="N6" s="17"/>
      <c r="O6" s="25">
        <v>1</v>
      </c>
      <c r="P6" s="18"/>
      <c r="Q6" s="19"/>
      <c r="R6" s="1"/>
      <c r="S6" s="20" t="s">
        <v>146</v>
      </c>
    </row>
    <row r="7" spans="1:20" ht="51" customHeight="1" thickBot="1" x14ac:dyDescent="0.45">
      <c r="A7" s="12">
        <v>4</v>
      </c>
      <c r="B7" s="26" t="str">
        <f t="shared" si="0"/>
        <v>2</v>
      </c>
      <c r="C7" s="13"/>
      <c r="D7" s="95" t="s">
        <v>411</v>
      </c>
      <c r="E7" s="96" t="s">
        <v>192</v>
      </c>
      <c r="F7" s="121"/>
      <c r="G7" s="121"/>
      <c r="H7" s="97" t="s">
        <v>382</v>
      </c>
      <c r="I7" s="98" t="s">
        <v>383</v>
      </c>
      <c r="J7" s="30">
        <v>1</v>
      </c>
      <c r="K7" s="14">
        <v>1</v>
      </c>
      <c r="L7" s="33" t="s">
        <v>96</v>
      </c>
      <c r="M7" s="17"/>
      <c r="N7" s="17"/>
      <c r="O7" s="25">
        <v>1</v>
      </c>
      <c r="P7" s="18"/>
      <c r="Q7" s="19"/>
      <c r="R7" s="1"/>
      <c r="S7" s="2"/>
    </row>
    <row r="8" spans="1:20" ht="51" customHeight="1" thickBot="1" x14ac:dyDescent="0.45">
      <c r="A8" s="12">
        <v>5</v>
      </c>
      <c r="B8" s="26" t="str">
        <f t="shared" si="0"/>
        <v>2</v>
      </c>
      <c r="C8" s="13"/>
      <c r="D8" s="95" t="s">
        <v>410</v>
      </c>
      <c r="E8" s="96" t="s">
        <v>194</v>
      </c>
      <c r="F8" s="121"/>
      <c r="G8" s="121"/>
      <c r="H8" s="97" t="s">
        <v>396</v>
      </c>
      <c r="I8" s="98" t="s">
        <v>397</v>
      </c>
      <c r="J8" s="30">
        <v>1</v>
      </c>
      <c r="K8" s="14">
        <v>1</v>
      </c>
      <c r="L8" s="33" t="s">
        <v>96</v>
      </c>
      <c r="M8" s="17"/>
      <c r="N8" s="17"/>
      <c r="O8" s="25">
        <v>1</v>
      </c>
      <c r="P8" s="18"/>
      <c r="Q8" s="19"/>
      <c r="R8" s="1"/>
      <c r="S8" s="78" t="s">
        <v>227</v>
      </c>
    </row>
    <row r="9" spans="1:20" ht="51" customHeight="1" thickBot="1" x14ac:dyDescent="0.45">
      <c r="A9" s="12">
        <v>6</v>
      </c>
      <c r="B9" s="26" t="str">
        <f t="shared" si="0"/>
        <v>2</v>
      </c>
      <c r="C9" s="13"/>
      <c r="D9" s="95" t="s">
        <v>409</v>
      </c>
      <c r="E9" s="96" t="s">
        <v>415</v>
      </c>
      <c r="F9" s="121"/>
      <c r="G9" s="121"/>
      <c r="H9" s="97" t="s">
        <v>387</v>
      </c>
      <c r="I9" s="98" t="s">
        <v>388</v>
      </c>
      <c r="J9" s="30">
        <v>1</v>
      </c>
      <c r="K9" s="14">
        <v>1</v>
      </c>
      <c r="L9" s="33" t="s">
        <v>96</v>
      </c>
      <c r="M9" s="17"/>
      <c r="N9" s="17"/>
      <c r="O9" s="25">
        <v>1</v>
      </c>
      <c r="P9" s="18"/>
      <c r="Q9" s="19"/>
      <c r="R9" s="1"/>
      <c r="S9" s="2"/>
    </row>
    <row r="10" spans="1:20" ht="51" customHeight="1" thickBot="1" x14ac:dyDescent="0.45">
      <c r="A10" s="12">
        <v>7</v>
      </c>
      <c r="B10" s="26" t="str">
        <f t="shared" si="0"/>
        <v>2</v>
      </c>
      <c r="C10" s="13"/>
      <c r="D10" s="95" t="s">
        <v>408</v>
      </c>
      <c r="E10" s="96" t="s">
        <v>196</v>
      </c>
      <c r="F10" s="121"/>
      <c r="G10" s="121"/>
      <c r="H10" s="97" t="s">
        <v>398</v>
      </c>
      <c r="I10" s="98" t="s">
        <v>399</v>
      </c>
      <c r="J10" s="30">
        <v>1</v>
      </c>
      <c r="K10" s="14">
        <v>1</v>
      </c>
      <c r="L10" s="33" t="s">
        <v>96</v>
      </c>
      <c r="M10" s="17"/>
      <c r="N10" s="17"/>
      <c r="O10" s="25">
        <v>1</v>
      </c>
      <c r="P10" s="18"/>
      <c r="Q10" s="19"/>
      <c r="R10" s="1"/>
      <c r="S10" s="2"/>
    </row>
    <row r="11" spans="1:20" ht="51" customHeight="1" thickBot="1" x14ac:dyDescent="0.45">
      <c r="A11" s="12">
        <v>8</v>
      </c>
      <c r="B11" s="26" t="str">
        <f t="shared" si="0"/>
        <v>2</v>
      </c>
      <c r="C11" s="13"/>
      <c r="D11" s="86" t="s">
        <v>407</v>
      </c>
      <c r="E11" s="3" t="s">
        <v>202</v>
      </c>
      <c r="F11" s="121"/>
      <c r="G11" s="121"/>
      <c r="H11" s="97" t="s">
        <v>400</v>
      </c>
      <c r="I11" s="99" t="s">
        <v>401</v>
      </c>
      <c r="J11" s="30">
        <v>1</v>
      </c>
      <c r="K11" s="14">
        <v>1</v>
      </c>
      <c r="L11" s="33" t="s">
        <v>96</v>
      </c>
      <c r="M11" s="17"/>
      <c r="N11" s="17"/>
      <c r="O11" s="25">
        <v>1</v>
      </c>
      <c r="P11" s="18"/>
      <c r="Q11" s="19"/>
      <c r="R11" s="1"/>
      <c r="S11" s="2"/>
    </row>
    <row r="12" spans="1:20" ht="51" customHeight="1" thickBot="1" x14ac:dyDescent="0.45">
      <c r="A12" s="12">
        <v>9</v>
      </c>
      <c r="B12" s="26" t="str">
        <f t="shared" si="0"/>
        <v>2</v>
      </c>
      <c r="C12" s="13"/>
      <c r="D12" s="86" t="s">
        <v>406</v>
      </c>
      <c r="E12" s="3" t="s">
        <v>384</v>
      </c>
      <c r="F12" s="121"/>
      <c r="G12" s="121"/>
      <c r="H12" s="97" t="s">
        <v>385</v>
      </c>
      <c r="I12" s="99" t="s">
        <v>386</v>
      </c>
      <c r="J12" s="30">
        <v>1</v>
      </c>
      <c r="K12" s="14">
        <v>1</v>
      </c>
      <c r="L12" s="33" t="s">
        <v>96</v>
      </c>
      <c r="M12" s="17"/>
      <c r="N12" s="17"/>
      <c r="O12" s="25">
        <v>1</v>
      </c>
      <c r="P12" s="18"/>
      <c r="Q12" s="19"/>
      <c r="R12" s="1"/>
      <c r="S12" s="2"/>
    </row>
    <row r="13" spans="1:20" ht="51" customHeight="1" thickBot="1" x14ac:dyDescent="0.45">
      <c r="A13" s="12">
        <v>10</v>
      </c>
      <c r="B13" s="26" t="str">
        <f t="shared" si="0"/>
        <v>2</v>
      </c>
      <c r="C13" s="13"/>
      <c r="D13" s="86" t="s">
        <v>405</v>
      </c>
      <c r="E13" s="3" t="s">
        <v>205</v>
      </c>
      <c r="F13" s="121"/>
      <c r="G13" s="121"/>
      <c r="H13" s="97" t="s">
        <v>402</v>
      </c>
      <c r="I13" s="99" t="s">
        <v>403</v>
      </c>
      <c r="J13" s="30">
        <v>1</v>
      </c>
      <c r="K13" s="14">
        <v>1</v>
      </c>
      <c r="L13" s="33" t="s">
        <v>96</v>
      </c>
      <c r="M13" s="17"/>
      <c r="N13" s="17"/>
      <c r="O13" s="25">
        <v>1</v>
      </c>
      <c r="P13" s="18"/>
      <c r="Q13" s="19"/>
      <c r="R13" s="1"/>
      <c r="S13" s="2"/>
    </row>
    <row r="14" spans="1:20" ht="51" customHeight="1" thickBot="1" x14ac:dyDescent="0.45">
      <c r="A14" s="12">
        <v>11</v>
      </c>
      <c r="B14" s="26" t="str">
        <f t="shared" si="0"/>
        <v>2</v>
      </c>
      <c r="C14" s="13"/>
      <c r="D14" s="86" t="s">
        <v>404</v>
      </c>
      <c r="E14" s="3" t="s">
        <v>17</v>
      </c>
      <c r="F14" s="121"/>
      <c r="G14" s="121"/>
      <c r="H14" s="97" t="s">
        <v>389</v>
      </c>
      <c r="I14" s="99" t="s">
        <v>390</v>
      </c>
      <c r="J14" s="30">
        <v>1</v>
      </c>
      <c r="K14" s="14">
        <v>1</v>
      </c>
      <c r="L14" s="33" t="s">
        <v>96</v>
      </c>
      <c r="M14" s="17"/>
      <c r="N14" s="17"/>
      <c r="O14" s="25">
        <v>1</v>
      </c>
      <c r="P14" s="18"/>
      <c r="Q14" s="19"/>
      <c r="R14" s="1"/>
      <c r="S14" s="2"/>
    </row>
    <row r="15" spans="1:20" ht="51" customHeight="1" thickBot="1" x14ac:dyDescent="0.45">
      <c r="A15" s="12">
        <v>12</v>
      </c>
      <c r="B15" s="26" t="str">
        <f t="shared" si="0"/>
        <v>2</v>
      </c>
      <c r="C15" s="13"/>
      <c r="D15" s="95" t="s">
        <v>421</v>
      </c>
      <c r="E15" s="3" t="s">
        <v>420</v>
      </c>
      <c r="F15" s="121"/>
      <c r="G15" s="121"/>
      <c r="H15" s="97" t="s">
        <v>418</v>
      </c>
      <c r="I15" s="98" t="s">
        <v>419</v>
      </c>
      <c r="J15" s="30">
        <v>1</v>
      </c>
      <c r="K15" s="14">
        <v>1</v>
      </c>
      <c r="L15" s="33" t="s">
        <v>96</v>
      </c>
      <c r="M15" s="17"/>
      <c r="N15" s="17"/>
      <c r="O15" s="25">
        <v>1</v>
      </c>
      <c r="P15" s="18"/>
      <c r="Q15" s="19"/>
      <c r="R15" s="1"/>
      <c r="S15" s="2"/>
    </row>
    <row r="16" spans="1:20" ht="44" customHeight="1" thickBot="1" x14ac:dyDescent="0.45">
      <c r="A16" s="12"/>
      <c r="B16" s="26"/>
      <c r="C16" s="13"/>
      <c r="D16" s="7"/>
      <c r="E16" s="3"/>
      <c r="F16" s="87"/>
      <c r="G16" s="87"/>
      <c r="H16" s="100"/>
      <c r="I16" s="99"/>
      <c r="J16" s="30"/>
      <c r="K16" s="14"/>
      <c r="L16" s="33"/>
      <c r="M16" s="17"/>
      <c r="N16" s="17"/>
      <c r="O16" s="25"/>
      <c r="P16" s="18"/>
      <c r="Q16" s="19"/>
      <c r="R16" s="1"/>
      <c r="S16" s="2"/>
    </row>
    <row r="17" spans="1:19" ht="44" customHeight="1" thickBot="1" x14ac:dyDescent="0.45">
      <c r="A17" s="12"/>
      <c r="B17" s="26"/>
      <c r="C17" s="13"/>
      <c r="D17" s="7"/>
      <c r="E17" s="3"/>
      <c r="F17" s="87"/>
      <c r="G17" s="87"/>
      <c r="H17" s="100"/>
      <c r="I17" s="99"/>
      <c r="J17" s="30"/>
      <c r="K17" s="14"/>
      <c r="L17" s="33"/>
      <c r="M17" s="17"/>
      <c r="N17" s="17"/>
      <c r="O17" s="25"/>
      <c r="P17" s="18"/>
      <c r="Q17" s="19"/>
      <c r="R17" s="1"/>
      <c r="S17" s="2"/>
    </row>
    <row r="18" spans="1:19" ht="44" customHeight="1" thickBot="1" x14ac:dyDescent="0.45">
      <c r="A18" s="12"/>
      <c r="B18" s="26"/>
      <c r="C18" s="13"/>
      <c r="D18" s="9"/>
      <c r="E18" s="4"/>
      <c r="F18" s="87"/>
      <c r="G18" s="87"/>
      <c r="H18" s="100"/>
      <c r="I18" s="99"/>
      <c r="J18" s="30"/>
      <c r="K18" s="14"/>
      <c r="L18" s="33"/>
      <c r="M18" s="17"/>
      <c r="N18" s="17"/>
      <c r="O18" s="25"/>
      <c r="P18" s="18"/>
      <c r="Q18" s="19"/>
      <c r="R18" s="1"/>
      <c r="S18" s="2"/>
    </row>
    <row r="19" spans="1:19" ht="44" customHeight="1" thickBot="1" x14ac:dyDescent="0.45">
      <c r="A19" s="12"/>
      <c r="B19" s="26"/>
      <c r="C19" s="13"/>
      <c r="D19" s="9"/>
      <c r="E19" s="4"/>
      <c r="F19" s="87"/>
      <c r="G19" s="87"/>
      <c r="H19" s="100"/>
      <c r="I19" s="98"/>
      <c r="J19" s="30"/>
      <c r="K19" s="14"/>
      <c r="L19" s="33"/>
      <c r="M19" s="17"/>
      <c r="N19" s="17"/>
      <c r="O19" s="25"/>
      <c r="P19" s="18"/>
      <c r="Q19" s="19"/>
      <c r="R19" s="1"/>
      <c r="S19" s="2"/>
    </row>
    <row r="20" spans="1:19" ht="44" customHeight="1" thickBot="1" x14ac:dyDescent="0.45">
      <c r="A20" s="12"/>
      <c r="B20" s="26"/>
      <c r="C20" s="13"/>
      <c r="D20" s="9"/>
      <c r="E20" s="4"/>
      <c r="F20" s="87"/>
      <c r="G20" s="87"/>
      <c r="H20" s="100"/>
      <c r="I20" s="98"/>
      <c r="J20" s="30"/>
      <c r="K20" s="14"/>
      <c r="L20" s="33"/>
      <c r="M20" s="17"/>
      <c r="N20" s="17"/>
      <c r="O20" s="25"/>
      <c r="P20" s="18"/>
      <c r="Q20" s="19"/>
      <c r="R20" s="1"/>
      <c r="S20" s="2"/>
    </row>
    <row r="21" spans="1:19" ht="44" customHeight="1" thickBot="1" x14ac:dyDescent="0.45">
      <c r="A21" s="12"/>
      <c r="B21" s="26"/>
      <c r="C21" s="13"/>
      <c r="D21" s="9"/>
      <c r="E21" s="4"/>
      <c r="F21" s="87"/>
      <c r="G21" s="87"/>
      <c r="H21" s="100"/>
      <c r="I21" s="98"/>
      <c r="J21" s="30"/>
      <c r="K21" s="14"/>
      <c r="L21" s="33"/>
      <c r="M21" s="17"/>
      <c r="N21" s="17"/>
      <c r="O21" s="25"/>
      <c r="P21" s="18"/>
      <c r="Q21" s="19"/>
      <c r="R21" s="1"/>
      <c r="S21" s="2"/>
    </row>
    <row r="22" spans="1:19" ht="44" customHeight="1" thickBot="1" x14ac:dyDescent="0.45">
      <c r="A22" s="12"/>
      <c r="B22" s="26"/>
      <c r="C22" s="13"/>
      <c r="D22" s="9"/>
      <c r="E22" s="4"/>
      <c r="F22" s="87"/>
      <c r="G22" s="87"/>
      <c r="H22" s="100"/>
      <c r="I22" s="99"/>
      <c r="J22" s="30"/>
      <c r="K22" s="14"/>
      <c r="L22" s="33"/>
      <c r="M22" s="17"/>
      <c r="N22" s="17"/>
      <c r="O22" s="25"/>
      <c r="P22" s="18"/>
      <c r="Q22" s="19"/>
      <c r="R22" s="1"/>
      <c r="S22" s="2"/>
    </row>
    <row r="23" spans="1:19" ht="44" customHeight="1" thickBot="1" x14ac:dyDescent="0.45">
      <c r="A23" s="12"/>
      <c r="B23" s="26"/>
      <c r="C23" s="13"/>
      <c r="D23" s="9"/>
      <c r="E23" s="4"/>
      <c r="F23" s="87"/>
      <c r="G23" s="87"/>
      <c r="H23" s="100"/>
      <c r="I23" s="98"/>
      <c r="J23" s="30"/>
      <c r="K23" s="14"/>
      <c r="L23" s="33"/>
      <c r="M23" s="17"/>
      <c r="N23" s="17"/>
      <c r="O23" s="25"/>
      <c r="P23" s="18"/>
      <c r="Q23" s="19"/>
      <c r="R23" s="1"/>
      <c r="S23" s="2"/>
    </row>
    <row r="24" spans="1:19" ht="44" customHeight="1" thickBot="1" x14ac:dyDescent="0.45">
      <c r="A24" s="12"/>
      <c r="B24" s="26"/>
      <c r="C24" s="13"/>
      <c r="D24" s="9"/>
      <c r="E24" s="4"/>
      <c r="F24" s="87"/>
      <c r="G24" s="87"/>
      <c r="H24" s="100"/>
      <c r="I24" s="99"/>
      <c r="J24" s="30"/>
      <c r="K24" s="14"/>
      <c r="L24" s="33"/>
      <c r="M24" s="17"/>
      <c r="N24" s="17"/>
      <c r="O24" s="25"/>
      <c r="P24" s="18"/>
      <c r="Q24" s="19"/>
      <c r="R24" s="1"/>
      <c r="S24" s="2"/>
    </row>
  </sheetData>
  <sortState xmlns:xlrd2="http://schemas.microsoft.com/office/spreadsheetml/2017/richdata2" ref="A4:Q24">
    <sortCondition ref="A4:A24"/>
    <sortCondition ref="F4:F24"/>
    <sortCondition ref="G4:G24"/>
  </sortState>
  <mergeCells count="4">
    <mergeCell ref="A1:C2"/>
    <mergeCell ref="D1:E1"/>
    <mergeCell ref="D2:E2"/>
    <mergeCell ref="F1:I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94" workbookViewId="0">
      <selection activeCell="E214" sqref="E21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 t="s">
        <v>112</v>
      </c>
      <c r="C2" t="s">
        <v>112</v>
      </c>
      <c r="D2" t="s">
        <v>112</v>
      </c>
      <c r="E2" t="s">
        <v>114</v>
      </c>
      <c r="F2" t="s">
        <v>112</v>
      </c>
      <c r="G2" t="s">
        <v>112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5">
        <v>45762</v>
      </c>
      <c r="B3">
        <v>1.4</v>
      </c>
      <c r="C3">
        <v>2.6</v>
      </c>
      <c r="D3">
        <v>1.1000000000000001</v>
      </c>
      <c r="E3" t="s">
        <v>114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5">
        <v>45763</v>
      </c>
      <c r="B4">
        <v>-0.2</v>
      </c>
      <c r="C4">
        <v>-1.1000000000000001</v>
      </c>
      <c r="D4">
        <v>-2.7</v>
      </c>
      <c r="E4" t="s">
        <v>114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5">
        <v>45764</v>
      </c>
      <c r="B5">
        <v>-2</v>
      </c>
      <c r="C5">
        <v>-2</v>
      </c>
      <c r="D5">
        <v>-4.7</v>
      </c>
      <c r="E5" t="s">
        <v>114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5">
        <v>45765</v>
      </c>
      <c r="B6">
        <v>0.6</v>
      </c>
      <c r="C6">
        <v>3.9</v>
      </c>
      <c r="D6">
        <v>-0.2</v>
      </c>
      <c r="E6" t="s">
        <v>114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5">
        <v>45766</v>
      </c>
      <c r="B7">
        <v>-0.6</v>
      </c>
      <c r="C7">
        <v>-1.8</v>
      </c>
      <c r="D7">
        <v>-2.6</v>
      </c>
      <c r="E7" t="s">
        <v>114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5">
        <v>45767</v>
      </c>
      <c r="B8">
        <v>-2.9</v>
      </c>
      <c r="C8">
        <v>-5.9</v>
      </c>
      <c r="D8">
        <v>-5.0999999999999996</v>
      </c>
      <c r="E8" t="s">
        <v>114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5">
        <v>45768</v>
      </c>
      <c r="B9">
        <v>-0.9</v>
      </c>
      <c r="C9">
        <v>-1.3</v>
      </c>
      <c r="D9">
        <v>-5.2</v>
      </c>
      <c r="E9" t="s">
        <v>114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5">
        <v>45769</v>
      </c>
      <c r="B10">
        <v>3.7</v>
      </c>
      <c r="C10">
        <v>0.6</v>
      </c>
      <c r="D10">
        <v>2.9</v>
      </c>
      <c r="E10" t="s">
        <v>114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5">
        <v>45770</v>
      </c>
      <c r="B11">
        <v>-3.9</v>
      </c>
      <c r="C11">
        <v>-4.5999999999999996</v>
      </c>
      <c r="D11">
        <v>-7.1</v>
      </c>
      <c r="E11" t="s">
        <v>114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5">
        <v>45771</v>
      </c>
      <c r="B12">
        <v>-0.9</v>
      </c>
      <c r="C12">
        <v>0.3</v>
      </c>
      <c r="D12">
        <v>1.3</v>
      </c>
      <c r="E12" t="s">
        <v>114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5">
        <v>45772</v>
      </c>
      <c r="B13">
        <v>-2.6</v>
      </c>
      <c r="C13">
        <v>-1.6</v>
      </c>
      <c r="D13">
        <v>-7.6</v>
      </c>
      <c r="E13" t="s">
        <v>114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5">
        <v>45773</v>
      </c>
      <c r="B14">
        <v>-5.8</v>
      </c>
      <c r="C14">
        <v>-2.8</v>
      </c>
      <c r="D14">
        <v>-6.9</v>
      </c>
      <c r="E14" t="s">
        <v>114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5">
        <v>45774</v>
      </c>
      <c r="B15">
        <v>-3.7</v>
      </c>
      <c r="C15">
        <v>-1.9</v>
      </c>
      <c r="D15">
        <v>-4.4000000000000004</v>
      </c>
      <c r="E15" t="s">
        <v>114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5">
        <v>45775</v>
      </c>
      <c r="B16">
        <v>2.5</v>
      </c>
      <c r="C16">
        <v>4.4000000000000004</v>
      </c>
      <c r="D16">
        <v>1.4</v>
      </c>
      <c r="E16" t="s">
        <v>114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5">
        <v>45776</v>
      </c>
      <c r="B17">
        <v>8.4</v>
      </c>
      <c r="C17">
        <v>7.6</v>
      </c>
      <c r="D17">
        <v>5.3</v>
      </c>
      <c r="E17" t="s">
        <v>114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5">
        <v>45777</v>
      </c>
      <c r="B18">
        <v>9.3000000000000007</v>
      </c>
      <c r="C18">
        <v>7.6</v>
      </c>
      <c r="D18">
        <v>5.3</v>
      </c>
      <c r="E18" t="s">
        <v>114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5">
        <v>45778</v>
      </c>
      <c r="B19">
        <v>4.5</v>
      </c>
      <c r="C19">
        <v>5.6</v>
      </c>
      <c r="D19">
        <v>6</v>
      </c>
      <c r="E19" t="s">
        <v>114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5">
        <v>45779</v>
      </c>
      <c r="B20">
        <v>-3.5</v>
      </c>
      <c r="C20">
        <v>-0.1</v>
      </c>
      <c r="D20">
        <v>-2.5</v>
      </c>
      <c r="E20" t="s">
        <v>114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5">
        <v>45780</v>
      </c>
      <c r="B21">
        <v>0.2</v>
      </c>
      <c r="C21">
        <v>3.2</v>
      </c>
      <c r="D21">
        <v>-0.2</v>
      </c>
      <c r="E21" t="s">
        <v>114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5">
        <v>45781</v>
      </c>
      <c r="B22">
        <v>3.6</v>
      </c>
      <c r="C22">
        <v>0.4</v>
      </c>
      <c r="D22">
        <v>-0.6</v>
      </c>
      <c r="E22" t="s">
        <v>114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5">
        <v>45782</v>
      </c>
      <c r="B23">
        <v>-2.1</v>
      </c>
      <c r="C23">
        <v>-2.1</v>
      </c>
      <c r="D23">
        <v>-3.4</v>
      </c>
      <c r="E23" t="s">
        <v>114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5">
        <v>45783</v>
      </c>
      <c r="B24">
        <v>1.7</v>
      </c>
      <c r="C24">
        <v>1.9</v>
      </c>
      <c r="D24">
        <v>2.7</v>
      </c>
      <c r="E24" t="s">
        <v>114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5">
        <v>45784</v>
      </c>
      <c r="B25">
        <v>5.5</v>
      </c>
      <c r="C25">
        <v>3.4</v>
      </c>
      <c r="D25">
        <v>2.2999999999999998</v>
      </c>
      <c r="E25" t="s">
        <v>114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5">
        <v>45785</v>
      </c>
      <c r="B26">
        <v>-0.4</v>
      </c>
      <c r="C26">
        <v>0.8</v>
      </c>
      <c r="D26">
        <v>-2.2000000000000002</v>
      </c>
      <c r="E26" t="s">
        <v>114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5">
        <v>45786</v>
      </c>
      <c r="B27">
        <v>2</v>
      </c>
      <c r="C27">
        <v>3.7</v>
      </c>
      <c r="D27">
        <v>0.3</v>
      </c>
      <c r="E27" t="s">
        <v>114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5">
        <v>45787</v>
      </c>
      <c r="B28">
        <v>3.3</v>
      </c>
      <c r="C28">
        <v>5.2</v>
      </c>
      <c r="D28">
        <v>3.8</v>
      </c>
      <c r="E28" t="s">
        <v>114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5">
        <v>45788</v>
      </c>
      <c r="B29">
        <v>8.3000000000000007</v>
      </c>
      <c r="C29">
        <v>14.2</v>
      </c>
      <c r="D29">
        <v>14.1</v>
      </c>
      <c r="E29" t="s">
        <v>114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5">
        <v>45789</v>
      </c>
      <c r="B30">
        <v>10.4</v>
      </c>
      <c r="C30">
        <v>8.3000000000000007</v>
      </c>
      <c r="D30">
        <v>9.1</v>
      </c>
      <c r="E30" t="s">
        <v>114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5">
        <v>45790</v>
      </c>
      <c r="B31">
        <v>0.1</v>
      </c>
      <c r="C31">
        <v>1.2</v>
      </c>
      <c r="D31">
        <v>1.7</v>
      </c>
      <c r="E31" t="s">
        <v>114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5">
        <v>45791</v>
      </c>
      <c r="B32">
        <v>7.5</v>
      </c>
      <c r="C32">
        <v>7.6</v>
      </c>
      <c r="D32">
        <v>6.8</v>
      </c>
      <c r="E32" t="s">
        <v>114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5">
        <v>45792</v>
      </c>
      <c r="B33">
        <v>8.5</v>
      </c>
      <c r="C33">
        <v>9.6</v>
      </c>
      <c r="D33">
        <v>6.4</v>
      </c>
      <c r="E33" t="s">
        <v>114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5">
        <v>45793</v>
      </c>
      <c r="B34">
        <v>-0.1</v>
      </c>
      <c r="C34">
        <v>0.2</v>
      </c>
      <c r="D34">
        <v>-0.2</v>
      </c>
      <c r="E34" t="s">
        <v>114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5">
        <v>45794</v>
      </c>
      <c r="B35">
        <v>5.5</v>
      </c>
      <c r="C35">
        <v>6</v>
      </c>
      <c r="D35">
        <v>6</v>
      </c>
      <c r="E35" t="s">
        <v>114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5">
        <v>45795</v>
      </c>
      <c r="B36">
        <v>5.9</v>
      </c>
      <c r="C36">
        <v>5.7</v>
      </c>
      <c r="D36">
        <v>7.8</v>
      </c>
      <c r="E36" t="s">
        <v>114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5">
        <v>45796</v>
      </c>
      <c r="B37">
        <v>13.4</v>
      </c>
      <c r="C37">
        <v>14.1</v>
      </c>
      <c r="D37">
        <v>11.2</v>
      </c>
      <c r="E37" t="s">
        <v>114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5">
        <v>45797</v>
      </c>
      <c r="B38">
        <v>10.9</v>
      </c>
      <c r="C38">
        <v>9.3000000000000007</v>
      </c>
      <c r="D38">
        <v>8.8000000000000007</v>
      </c>
      <c r="E38" t="s">
        <v>114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5">
        <v>45798</v>
      </c>
      <c r="B39">
        <v>3.1</v>
      </c>
      <c r="C39">
        <v>3.7</v>
      </c>
      <c r="D39">
        <v>3.3</v>
      </c>
      <c r="E39" t="s">
        <v>114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5">
        <v>45799</v>
      </c>
      <c r="B40">
        <v>4.4000000000000004</v>
      </c>
      <c r="C40">
        <v>7</v>
      </c>
      <c r="D40">
        <v>4.4000000000000004</v>
      </c>
      <c r="E40" t="s">
        <v>114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5">
        <v>45800</v>
      </c>
      <c r="B41">
        <v>6.6</v>
      </c>
      <c r="C41">
        <v>11.4</v>
      </c>
      <c r="D41">
        <v>6.4</v>
      </c>
      <c r="E41" t="s">
        <v>114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5">
        <v>45801</v>
      </c>
      <c r="B42">
        <v>9.6</v>
      </c>
      <c r="C42">
        <v>12.3</v>
      </c>
      <c r="D42">
        <v>7.3</v>
      </c>
      <c r="E42" t="s">
        <v>114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5">
        <v>45802</v>
      </c>
      <c r="B43">
        <v>13.9</v>
      </c>
      <c r="C43">
        <v>16.100000000000001</v>
      </c>
      <c r="D43">
        <v>10.6</v>
      </c>
      <c r="E43" t="s">
        <v>114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5">
        <v>45803</v>
      </c>
      <c r="B44">
        <v>10.7</v>
      </c>
      <c r="C44">
        <v>13.2</v>
      </c>
      <c r="D44">
        <v>10.199999999999999</v>
      </c>
      <c r="E44" t="s">
        <v>114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5">
        <v>45804</v>
      </c>
      <c r="B45">
        <v>10.3</v>
      </c>
      <c r="C45">
        <v>9</v>
      </c>
      <c r="D45">
        <v>10.6</v>
      </c>
      <c r="E45" t="s">
        <v>114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5">
        <v>45805</v>
      </c>
      <c r="B46">
        <v>1.7</v>
      </c>
      <c r="C46">
        <v>-3.6</v>
      </c>
      <c r="D46">
        <v>1.3</v>
      </c>
      <c r="E46" t="s">
        <v>114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5">
        <v>45806</v>
      </c>
      <c r="B47">
        <v>5.9</v>
      </c>
      <c r="C47">
        <v>4.2</v>
      </c>
      <c r="D47">
        <v>1</v>
      </c>
      <c r="E47" t="s">
        <v>114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5">
        <v>45807</v>
      </c>
      <c r="B48">
        <v>-1</v>
      </c>
      <c r="C48" t="s">
        <v>112</v>
      </c>
      <c r="D48" t="s">
        <v>112</v>
      </c>
      <c r="E48" t="s">
        <v>114</v>
      </c>
      <c r="F48">
        <v>-2.4</v>
      </c>
      <c r="G48" t="s">
        <v>112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5">
        <v>45808</v>
      </c>
      <c r="B49">
        <v>3</v>
      </c>
      <c r="C49" t="s">
        <v>112</v>
      </c>
      <c r="D49" t="s">
        <v>112</v>
      </c>
      <c r="E49" t="s">
        <v>114</v>
      </c>
      <c r="F49">
        <v>-1.7</v>
      </c>
      <c r="G49" t="s">
        <v>112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5">
        <v>45809</v>
      </c>
      <c r="B50">
        <v>8.3000000000000007</v>
      </c>
      <c r="C50">
        <v>7.6</v>
      </c>
      <c r="D50">
        <v>4</v>
      </c>
      <c r="E50" t="s">
        <v>114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5">
        <v>45810</v>
      </c>
      <c r="B51">
        <v>7.4</v>
      </c>
      <c r="C51">
        <v>6.2</v>
      </c>
      <c r="D51">
        <v>4.0999999999999996</v>
      </c>
      <c r="E51" t="s">
        <v>114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5">
        <v>45811</v>
      </c>
      <c r="B52">
        <v>8.8000000000000007</v>
      </c>
      <c r="C52">
        <v>9.4</v>
      </c>
      <c r="D52">
        <v>3.7</v>
      </c>
      <c r="E52" t="s">
        <v>114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5">
        <v>45812</v>
      </c>
      <c r="B53">
        <v>12.1</v>
      </c>
      <c r="C53">
        <v>14.4</v>
      </c>
      <c r="D53">
        <v>14.1</v>
      </c>
      <c r="E53" t="s">
        <v>114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5">
        <v>45813</v>
      </c>
      <c r="B54">
        <v>12.1</v>
      </c>
      <c r="C54" t="s">
        <v>112</v>
      </c>
      <c r="D54" t="s">
        <v>112</v>
      </c>
      <c r="E54" t="s">
        <v>114</v>
      </c>
      <c r="F54">
        <v>5.3</v>
      </c>
      <c r="G54" t="s">
        <v>112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5">
        <v>45814</v>
      </c>
      <c r="B55">
        <v>11.3</v>
      </c>
      <c r="C55">
        <v>10.3</v>
      </c>
      <c r="D55">
        <v>10.7</v>
      </c>
      <c r="E55" t="s">
        <v>114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5">
        <v>45815</v>
      </c>
      <c r="B56">
        <v>11.7</v>
      </c>
      <c r="C56">
        <v>15.2</v>
      </c>
      <c r="D56">
        <v>11.1</v>
      </c>
      <c r="E56" t="s">
        <v>114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5">
        <v>45816</v>
      </c>
      <c r="B57">
        <v>11.1</v>
      </c>
      <c r="C57">
        <v>12.2</v>
      </c>
      <c r="D57">
        <v>11.3</v>
      </c>
      <c r="E57" t="s">
        <v>114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5">
        <v>45817</v>
      </c>
      <c r="B58">
        <v>15.7</v>
      </c>
      <c r="C58">
        <v>16.399999999999999</v>
      </c>
      <c r="D58">
        <v>8.4</v>
      </c>
      <c r="E58" t="s">
        <v>114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5">
        <v>45818</v>
      </c>
      <c r="B59">
        <v>12.7</v>
      </c>
      <c r="C59">
        <v>13.5</v>
      </c>
      <c r="D59">
        <v>14.1</v>
      </c>
      <c r="E59" t="s">
        <v>114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5">
        <v>45819</v>
      </c>
      <c r="B60">
        <v>13.9</v>
      </c>
      <c r="C60">
        <v>11.8</v>
      </c>
      <c r="D60">
        <v>11.5</v>
      </c>
      <c r="E60" t="s">
        <v>114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5">
        <v>45820</v>
      </c>
      <c r="B61">
        <v>14.1</v>
      </c>
      <c r="C61">
        <v>13.3</v>
      </c>
      <c r="D61">
        <v>7.5</v>
      </c>
      <c r="E61" t="s">
        <v>114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5">
        <v>45821</v>
      </c>
      <c r="B62">
        <v>12.8</v>
      </c>
      <c r="C62">
        <v>13.5</v>
      </c>
      <c r="D62">
        <v>12.1</v>
      </c>
      <c r="E62" t="s">
        <v>114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5">
        <v>45822</v>
      </c>
      <c r="B63">
        <v>9.8000000000000007</v>
      </c>
      <c r="C63">
        <v>11.3</v>
      </c>
      <c r="D63">
        <v>7.9</v>
      </c>
      <c r="E63" t="s">
        <v>114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5">
        <v>45823</v>
      </c>
      <c r="B64">
        <v>11.4</v>
      </c>
      <c r="C64">
        <v>14.1</v>
      </c>
      <c r="D64">
        <v>9.1999999999999993</v>
      </c>
      <c r="E64" t="s">
        <v>114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5">
        <v>45824</v>
      </c>
      <c r="B65">
        <v>19</v>
      </c>
      <c r="C65">
        <v>18.899999999999999</v>
      </c>
      <c r="D65">
        <v>17.899999999999999</v>
      </c>
      <c r="E65" t="s">
        <v>114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5">
        <v>45825</v>
      </c>
      <c r="B66">
        <v>17.5</v>
      </c>
      <c r="C66">
        <v>15.9</v>
      </c>
      <c r="D66">
        <v>13.4</v>
      </c>
      <c r="E66" t="s">
        <v>114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5">
        <v>45826</v>
      </c>
      <c r="B67">
        <v>9.6999999999999993</v>
      </c>
      <c r="C67">
        <v>11</v>
      </c>
      <c r="D67">
        <v>8.6999999999999993</v>
      </c>
      <c r="E67" t="s">
        <v>114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5">
        <v>45827</v>
      </c>
      <c r="B68">
        <v>11.6</v>
      </c>
      <c r="C68" t="s">
        <v>112</v>
      </c>
      <c r="D68" t="s">
        <v>112</v>
      </c>
      <c r="E68" t="s">
        <v>114</v>
      </c>
      <c r="F68">
        <v>7</v>
      </c>
      <c r="G68" t="s">
        <v>112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5">
        <v>45828</v>
      </c>
      <c r="B69">
        <v>14.3</v>
      </c>
      <c r="C69">
        <v>15.9</v>
      </c>
      <c r="D69">
        <v>12.1</v>
      </c>
      <c r="E69" t="s">
        <v>114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5">
        <v>45829</v>
      </c>
      <c r="B70">
        <v>15.1</v>
      </c>
      <c r="C70" t="s">
        <v>112</v>
      </c>
      <c r="D70" t="s">
        <v>112</v>
      </c>
      <c r="E70" t="s">
        <v>114</v>
      </c>
      <c r="F70">
        <v>8.1999999999999993</v>
      </c>
      <c r="G70" t="s">
        <v>112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5">
        <v>45830</v>
      </c>
      <c r="B71">
        <v>19.600000000000001</v>
      </c>
      <c r="C71">
        <v>20.8</v>
      </c>
      <c r="D71">
        <v>20.399999999999999</v>
      </c>
      <c r="E71" t="s">
        <v>114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5">
        <v>45831</v>
      </c>
      <c r="B72">
        <v>14.1</v>
      </c>
      <c r="C72">
        <v>15.3</v>
      </c>
      <c r="D72">
        <v>11.2</v>
      </c>
      <c r="E72" t="s">
        <v>114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5">
        <v>45832</v>
      </c>
      <c r="B73">
        <v>16.3</v>
      </c>
      <c r="C73" t="s">
        <v>112</v>
      </c>
      <c r="D73" t="s">
        <v>112</v>
      </c>
      <c r="E73" t="s">
        <v>114</v>
      </c>
      <c r="F73">
        <v>8.1</v>
      </c>
      <c r="G73" t="s">
        <v>112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5">
        <v>45833</v>
      </c>
      <c r="B74">
        <v>17.399999999999999</v>
      </c>
      <c r="C74">
        <v>17.7</v>
      </c>
      <c r="D74">
        <v>15.2</v>
      </c>
      <c r="E74" t="s">
        <v>114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5">
        <v>45834</v>
      </c>
      <c r="B75">
        <v>15.1</v>
      </c>
      <c r="C75">
        <v>14.2</v>
      </c>
      <c r="D75">
        <v>15</v>
      </c>
      <c r="E75" t="s">
        <v>114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5">
        <v>45835</v>
      </c>
      <c r="B76">
        <v>13.7</v>
      </c>
      <c r="C76">
        <v>13.2</v>
      </c>
      <c r="D76">
        <v>14</v>
      </c>
      <c r="E76" t="s">
        <v>114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5">
        <v>45836</v>
      </c>
      <c r="B77">
        <v>14.3</v>
      </c>
      <c r="C77">
        <v>17.100000000000001</v>
      </c>
      <c r="D77">
        <v>12.6</v>
      </c>
      <c r="E77" t="s">
        <v>114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5">
        <v>45837</v>
      </c>
      <c r="B78">
        <v>15.2</v>
      </c>
      <c r="C78">
        <v>15.2</v>
      </c>
      <c r="D78">
        <v>12.6</v>
      </c>
      <c r="E78" t="s">
        <v>114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5">
        <v>45838</v>
      </c>
      <c r="B79">
        <v>12.1</v>
      </c>
      <c r="C79">
        <v>14.3</v>
      </c>
      <c r="D79">
        <v>10.5</v>
      </c>
      <c r="E79" t="s">
        <v>114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5">
        <v>45839</v>
      </c>
      <c r="B80">
        <v>12</v>
      </c>
      <c r="C80">
        <v>14.7</v>
      </c>
      <c r="D80">
        <v>12.5</v>
      </c>
      <c r="E80" t="s">
        <v>114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5">
        <v>45840</v>
      </c>
      <c r="B81">
        <v>10.9</v>
      </c>
      <c r="C81">
        <v>10.4</v>
      </c>
      <c r="D81">
        <v>9.8000000000000007</v>
      </c>
      <c r="E81" t="s">
        <v>114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5">
        <v>45841</v>
      </c>
      <c r="B82">
        <v>16.3</v>
      </c>
      <c r="C82">
        <v>14.1</v>
      </c>
      <c r="D82">
        <v>9</v>
      </c>
      <c r="E82" t="s">
        <v>114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5">
        <v>45842</v>
      </c>
      <c r="B83">
        <v>14</v>
      </c>
      <c r="C83">
        <v>12</v>
      </c>
      <c r="D83">
        <v>13.4</v>
      </c>
      <c r="E83" t="s">
        <v>114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5">
        <v>45843</v>
      </c>
      <c r="B84">
        <v>10.9</v>
      </c>
      <c r="C84">
        <v>11.9</v>
      </c>
      <c r="D84">
        <v>10</v>
      </c>
      <c r="E84" t="s">
        <v>114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5">
        <v>45844</v>
      </c>
      <c r="B85">
        <v>13.1</v>
      </c>
      <c r="C85">
        <v>17.5</v>
      </c>
      <c r="D85">
        <v>12.4</v>
      </c>
      <c r="E85" t="s">
        <v>114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5">
        <v>45845</v>
      </c>
      <c r="B86">
        <v>15.3</v>
      </c>
      <c r="C86">
        <v>15.6</v>
      </c>
      <c r="D86">
        <v>14.7</v>
      </c>
      <c r="E86" t="s">
        <v>114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5">
        <v>45846</v>
      </c>
      <c r="B87">
        <v>10.6</v>
      </c>
      <c r="C87">
        <v>12.9</v>
      </c>
      <c r="D87">
        <v>10.199999999999999</v>
      </c>
      <c r="E87" t="s">
        <v>114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5">
        <v>45847</v>
      </c>
      <c r="B88">
        <v>13.5</v>
      </c>
      <c r="C88">
        <v>15.4</v>
      </c>
      <c r="D88">
        <v>11.1</v>
      </c>
      <c r="E88" t="s">
        <v>114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5">
        <v>45848</v>
      </c>
      <c r="B89">
        <v>13.5</v>
      </c>
      <c r="C89">
        <v>16.2</v>
      </c>
      <c r="D89">
        <v>9.5</v>
      </c>
      <c r="E89" t="s">
        <v>114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5">
        <v>45849</v>
      </c>
      <c r="B90">
        <v>11.9</v>
      </c>
      <c r="C90">
        <v>12.9</v>
      </c>
      <c r="D90">
        <v>9.4</v>
      </c>
      <c r="E90" t="s">
        <v>114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5">
        <v>45850</v>
      </c>
      <c r="B91">
        <v>19.600000000000001</v>
      </c>
      <c r="C91">
        <v>18.600000000000001</v>
      </c>
      <c r="D91">
        <v>18.8</v>
      </c>
      <c r="E91" t="s">
        <v>114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5">
        <v>45851</v>
      </c>
      <c r="B92">
        <v>16.3</v>
      </c>
      <c r="C92">
        <v>15.9</v>
      </c>
      <c r="D92">
        <v>16.399999999999999</v>
      </c>
      <c r="E92" t="s">
        <v>114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5">
        <v>45852</v>
      </c>
      <c r="B93">
        <v>16.3</v>
      </c>
      <c r="C93">
        <v>14.9</v>
      </c>
      <c r="D93">
        <v>13.7</v>
      </c>
      <c r="E93" t="s">
        <v>114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5">
        <v>45853</v>
      </c>
      <c r="B94">
        <v>16.3</v>
      </c>
      <c r="C94">
        <v>18.2</v>
      </c>
      <c r="D94">
        <v>16.600000000000001</v>
      </c>
      <c r="E94" t="s">
        <v>114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5">
        <v>45854</v>
      </c>
      <c r="B95">
        <v>14.4</v>
      </c>
      <c r="C95">
        <v>16.2</v>
      </c>
      <c r="D95">
        <v>16.5</v>
      </c>
      <c r="E95" t="s">
        <v>114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5">
        <v>45855</v>
      </c>
      <c r="B96">
        <v>14.3</v>
      </c>
      <c r="C96" t="s">
        <v>112</v>
      </c>
      <c r="D96" t="s">
        <v>112</v>
      </c>
      <c r="E96" t="s">
        <v>114</v>
      </c>
      <c r="F96">
        <v>10.8</v>
      </c>
      <c r="G96" t="s">
        <v>112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5">
        <v>45856</v>
      </c>
      <c r="B97">
        <v>15.2</v>
      </c>
      <c r="C97" t="s">
        <v>112</v>
      </c>
      <c r="D97" t="s">
        <v>112</v>
      </c>
      <c r="E97" t="s">
        <v>114</v>
      </c>
      <c r="F97">
        <v>13</v>
      </c>
      <c r="G97" t="s">
        <v>112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5">
        <v>45857</v>
      </c>
      <c r="B98">
        <v>14.6</v>
      </c>
      <c r="C98" t="s">
        <v>112</v>
      </c>
      <c r="D98" t="s">
        <v>112</v>
      </c>
      <c r="E98" t="s">
        <v>114</v>
      </c>
      <c r="F98">
        <v>7.3</v>
      </c>
      <c r="G98" t="s">
        <v>112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5">
        <v>45858</v>
      </c>
      <c r="B99">
        <v>16.399999999999999</v>
      </c>
      <c r="C99">
        <v>20.3</v>
      </c>
      <c r="D99">
        <v>15.7</v>
      </c>
      <c r="E99" t="s">
        <v>114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5">
        <v>45859</v>
      </c>
      <c r="B100">
        <v>10.8</v>
      </c>
      <c r="C100">
        <v>14.8</v>
      </c>
      <c r="D100">
        <v>15.3</v>
      </c>
      <c r="E100" t="s">
        <v>114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5">
        <v>45860</v>
      </c>
      <c r="B101">
        <v>13.4</v>
      </c>
      <c r="C101">
        <v>15.1</v>
      </c>
      <c r="D101">
        <v>13.5</v>
      </c>
      <c r="E101" t="s">
        <v>114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5">
        <v>45861</v>
      </c>
      <c r="B102">
        <v>10.4</v>
      </c>
      <c r="C102">
        <v>10.9</v>
      </c>
      <c r="D102">
        <v>11.4</v>
      </c>
      <c r="E102" t="s">
        <v>114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5">
        <v>45862</v>
      </c>
      <c r="B103">
        <v>12.1</v>
      </c>
      <c r="C103">
        <v>10.4</v>
      </c>
      <c r="D103">
        <v>8.4</v>
      </c>
      <c r="E103" t="s">
        <v>114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5">
        <v>45863</v>
      </c>
      <c r="B104">
        <v>9.1</v>
      </c>
      <c r="C104">
        <v>8.1999999999999993</v>
      </c>
      <c r="D104">
        <v>9.8000000000000007</v>
      </c>
      <c r="E104" t="s">
        <v>114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5">
        <v>45864</v>
      </c>
      <c r="B105">
        <v>10.6</v>
      </c>
      <c r="C105">
        <v>11.1</v>
      </c>
      <c r="D105">
        <v>12.2</v>
      </c>
      <c r="E105" t="s">
        <v>114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5">
        <v>45865</v>
      </c>
      <c r="B106">
        <v>10.1</v>
      </c>
      <c r="C106">
        <v>13.6</v>
      </c>
      <c r="D106">
        <v>8.5</v>
      </c>
      <c r="E106" t="s">
        <v>114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5">
        <v>45866</v>
      </c>
      <c r="B107">
        <v>13.8</v>
      </c>
      <c r="C107">
        <v>14.5</v>
      </c>
      <c r="D107">
        <v>11.1</v>
      </c>
      <c r="E107" t="s">
        <v>114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5">
        <v>45867</v>
      </c>
      <c r="B108">
        <v>18.399999999999999</v>
      </c>
      <c r="C108">
        <v>19.5</v>
      </c>
      <c r="D108">
        <v>14.1</v>
      </c>
      <c r="E108" t="s">
        <v>114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5">
        <v>45868</v>
      </c>
      <c r="B109">
        <v>17.8</v>
      </c>
      <c r="C109">
        <v>17.8</v>
      </c>
      <c r="D109">
        <v>17.899999999999999</v>
      </c>
      <c r="E109" t="s">
        <v>114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5">
        <v>45869</v>
      </c>
      <c r="B110">
        <v>12</v>
      </c>
      <c r="C110">
        <v>13.6</v>
      </c>
      <c r="D110">
        <v>10.3</v>
      </c>
      <c r="E110" t="s">
        <v>114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5">
        <v>45870</v>
      </c>
      <c r="B111">
        <v>11.9</v>
      </c>
      <c r="C111">
        <v>12.5</v>
      </c>
      <c r="D111">
        <v>11.1</v>
      </c>
      <c r="E111" t="s">
        <v>114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5">
        <v>45871</v>
      </c>
      <c r="B112">
        <v>14.5</v>
      </c>
      <c r="C112">
        <v>16.7</v>
      </c>
      <c r="D112">
        <v>15.3</v>
      </c>
      <c r="E112" t="s">
        <v>114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5">
        <v>45872</v>
      </c>
      <c r="B113">
        <v>16.7</v>
      </c>
      <c r="C113">
        <v>16.899999999999999</v>
      </c>
      <c r="D113">
        <v>11.5</v>
      </c>
      <c r="E113" t="s">
        <v>114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5">
        <v>45873</v>
      </c>
      <c r="B114">
        <v>13.6</v>
      </c>
      <c r="C114">
        <v>15</v>
      </c>
      <c r="D114">
        <v>13.8</v>
      </c>
      <c r="E114" t="s">
        <v>114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5">
        <v>45874</v>
      </c>
      <c r="B115">
        <v>14.1</v>
      </c>
      <c r="C115">
        <v>15.2</v>
      </c>
      <c r="D115">
        <v>13.3</v>
      </c>
      <c r="E115" t="s">
        <v>114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5">
        <v>45875</v>
      </c>
      <c r="B116">
        <v>10</v>
      </c>
      <c r="C116">
        <v>12.2</v>
      </c>
      <c r="D116">
        <v>14.7</v>
      </c>
      <c r="E116" t="s">
        <v>114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5">
        <v>45876</v>
      </c>
      <c r="B117">
        <v>10.7</v>
      </c>
      <c r="C117">
        <v>9.8000000000000007</v>
      </c>
      <c r="D117">
        <v>6.4</v>
      </c>
      <c r="E117" t="s">
        <v>114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5">
        <v>45877</v>
      </c>
      <c r="B118">
        <v>7</v>
      </c>
      <c r="C118">
        <v>10.199999999999999</v>
      </c>
      <c r="D118">
        <v>6.7</v>
      </c>
      <c r="E118" t="s">
        <v>114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5">
        <v>45878</v>
      </c>
      <c r="B119">
        <v>11.2</v>
      </c>
      <c r="C119">
        <v>15.8</v>
      </c>
      <c r="D119">
        <v>14.6</v>
      </c>
      <c r="E119" t="s">
        <v>114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5">
        <v>45879</v>
      </c>
      <c r="B120">
        <v>12.7</v>
      </c>
      <c r="C120">
        <v>12.6</v>
      </c>
      <c r="D120">
        <v>11.9</v>
      </c>
      <c r="E120" t="s">
        <v>114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5">
        <v>45880</v>
      </c>
      <c r="B121">
        <v>7.2</v>
      </c>
      <c r="C121">
        <v>8</v>
      </c>
      <c r="D121">
        <v>9</v>
      </c>
      <c r="E121" t="s">
        <v>114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5">
        <v>45881</v>
      </c>
      <c r="B122">
        <v>6.2</v>
      </c>
      <c r="C122">
        <v>7.2</v>
      </c>
      <c r="D122">
        <v>2.9</v>
      </c>
      <c r="E122" t="s">
        <v>114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5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5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5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5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5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5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5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5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5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5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5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5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5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5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5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5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5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5">
        <v>45899</v>
      </c>
      <c r="B140">
        <v>9.8000000000000007</v>
      </c>
      <c r="C140" t="s">
        <v>112</v>
      </c>
      <c r="D140" t="s">
        <v>112</v>
      </c>
      <c r="E140" t="s">
        <v>112</v>
      </c>
      <c r="F140">
        <v>0</v>
      </c>
      <c r="G140" t="s">
        <v>112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5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5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5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5">
        <v>45903</v>
      </c>
      <c r="B144">
        <v>9.1</v>
      </c>
      <c r="C144" t="s">
        <v>112</v>
      </c>
      <c r="D144" t="s">
        <v>112</v>
      </c>
      <c r="E144" t="s">
        <v>112</v>
      </c>
      <c r="F144">
        <v>0</v>
      </c>
      <c r="G144" t="s">
        <v>112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5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5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5">
        <v>45906</v>
      </c>
      <c r="B147">
        <v>5.7</v>
      </c>
      <c r="C147" t="s">
        <v>112</v>
      </c>
      <c r="D147" t="s">
        <v>112</v>
      </c>
      <c r="E147" t="s">
        <v>112</v>
      </c>
      <c r="F147">
        <v>-0.4</v>
      </c>
      <c r="G147" t="s">
        <v>112</v>
      </c>
      <c r="H147">
        <v>4.5999999999999996</v>
      </c>
      <c r="I147">
        <v>2.7</v>
      </c>
      <c r="J147">
        <v>1.4</v>
      </c>
      <c r="K147">
        <v>-0.4</v>
      </c>
      <c r="L147">
        <v>1.2</v>
      </c>
      <c r="M147">
        <v>0.2</v>
      </c>
      <c r="N147">
        <v>4.5</v>
      </c>
    </row>
    <row r="148" spans="1:14" x14ac:dyDescent="0.4">
      <c r="A148" s="5">
        <v>45907</v>
      </c>
      <c r="B148">
        <v>5</v>
      </c>
      <c r="C148">
        <v>5.2</v>
      </c>
      <c r="D148">
        <v>1</v>
      </c>
      <c r="E148">
        <v>-4.2</v>
      </c>
      <c r="F148">
        <v>-6.9</v>
      </c>
      <c r="G148">
        <v>-1.6</v>
      </c>
      <c r="H148">
        <v>5.2</v>
      </c>
      <c r="I148">
        <v>5.3</v>
      </c>
      <c r="J148">
        <v>-1.8</v>
      </c>
      <c r="K148">
        <v>-5</v>
      </c>
      <c r="L148">
        <v>-5.0999999999999996</v>
      </c>
      <c r="M148">
        <v>-2.6</v>
      </c>
      <c r="N148">
        <v>4.7</v>
      </c>
    </row>
    <row r="149" spans="1:14" x14ac:dyDescent="0.4">
      <c r="A149" s="5">
        <v>45908</v>
      </c>
      <c r="B149">
        <v>7.9</v>
      </c>
      <c r="C149">
        <v>8</v>
      </c>
      <c r="D149">
        <v>3.8</v>
      </c>
      <c r="E149">
        <v>1.6</v>
      </c>
      <c r="F149">
        <v>-4.3</v>
      </c>
      <c r="G149">
        <v>2.2999999999999998</v>
      </c>
      <c r="H149">
        <v>0.3</v>
      </c>
      <c r="I149">
        <v>6.6</v>
      </c>
      <c r="J149">
        <v>1.3</v>
      </c>
      <c r="K149">
        <v>-0.1</v>
      </c>
      <c r="L149">
        <v>0.6</v>
      </c>
      <c r="M149">
        <v>-1.1000000000000001</v>
      </c>
      <c r="N149">
        <v>0.6</v>
      </c>
    </row>
    <row r="150" spans="1:14" x14ac:dyDescent="0.4">
      <c r="A150" s="5">
        <v>45909</v>
      </c>
      <c r="B150">
        <v>8.9</v>
      </c>
      <c r="C150">
        <v>7.6</v>
      </c>
      <c r="D150">
        <v>6.8</v>
      </c>
      <c r="E150">
        <v>-0.8</v>
      </c>
      <c r="F150">
        <v>-3.3</v>
      </c>
      <c r="G150">
        <v>-2.6</v>
      </c>
      <c r="H150">
        <v>3.6</v>
      </c>
      <c r="I150">
        <v>7.4</v>
      </c>
      <c r="J150">
        <v>2.7</v>
      </c>
      <c r="K150">
        <v>-1.5</v>
      </c>
      <c r="L150">
        <v>-1.4</v>
      </c>
      <c r="M150">
        <v>-5.2</v>
      </c>
      <c r="N150">
        <v>4.2</v>
      </c>
    </row>
    <row r="151" spans="1:14" x14ac:dyDescent="0.4">
      <c r="A151" s="5">
        <v>45910</v>
      </c>
      <c r="B151">
        <v>11.8</v>
      </c>
      <c r="C151">
        <v>10.6</v>
      </c>
      <c r="D151">
        <v>10.1</v>
      </c>
      <c r="E151">
        <v>3.4</v>
      </c>
      <c r="F151">
        <v>3.7</v>
      </c>
      <c r="G151">
        <v>2.1</v>
      </c>
      <c r="H151">
        <v>6.8</v>
      </c>
      <c r="I151">
        <v>7.4</v>
      </c>
      <c r="J151">
        <v>8.3000000000000007</v>
      </c>
      <c r="K151">
        <v>4.9000000000000004</v>
      </c>
      <c r="L151">
        <v>5.6</v>
      </c>
      <c r="M151">
        <v>0.5</v>
      </c>
      <c r="N151">
        <v>11.3</v>
      </c>
    </row>
    <row r="152" spans="1:14" x14ac:dyDescent="0.4">
      <c r="A152" s="5">
        <v>45911</v>
      </c>
      <c r="B152">
        <v>6.6</v>
      </c>
      <c r="C152">
        <v>5.7</v>
      </c>
      <c r="D152">
        <v>2.7</v>
      </c>
      <c r="E152">
        <v>-0.5</v>
      </c>
      <c r="F152">
        <v>-1.3</v>
      </c>
      <c r="G152">
        <v>3.2</v>
      </c>
      <c r="H152">
        <v>6.6</v>
      </c>
      <c r="I152">
        <v>5.2</v>
      </c>
      <c r="J152">
        <v>0.2</v>
      </c>
      <c r="K152">
        <v>0</v>
      </c>
      <c r="L152">
        <v>0.4</v>
      </c>
      <c r="M152">
        <v>0.6</v>
      </c>
      <c r="N152">
        <v>5.7</v>
      </c>
    </row>
    <row r="153" spans="1:14" x14ac:dyDescent="0.4">
      <c r="A153" s="5">
        <v>45912</v>
      </c>
      <c r="B153">
        <v>9.5</v>
      </c>
      <c r="C153">
        <v>8.6999999999999993</v>
      </c>
      <c r="D153">
        <v>7.8</v>
      </c>
      <c r="E153">
        <v>0.6</v>
      </c>
      <c r="F153">
        <v>-0.8</v>
      </c>
      <c r="G153">
        <v>-1.1000000000000001</v>
      </c>
      <c r="H153">
        <v>4.4000000000000004</v>
      </c>
      <c r="I153">
        <v>6.8</v>
      </c>
      <c r="J153">
        <v>4.2</v>
      </c>
      <c r="K153">
        <v>3.9</v>
      </c>
      <c r="L153">
        <v>1.6</v>
      </c>
      <c r="M153">
        <v>-1.5</v>
      </c>
      <c r="N153">
        <v>4.4000000000000004</v>
      </c>
    </row>
    <row r="154" spans="1:14" x14ac:dyDescent="0.4">
      <c r="A154" s="5">
        <v>45913</v>
      </c>
      <c r="B154">
        <v>3.6</v>
      </c>
      <c r="C154">
        <v>5.4</v>
      </c>
      <c r="D154">
        <v>2.2000000000000002</v>
      </c>
      <c r="E154">
        <v>3.8</v>
      </c>
      <c r="F154">
        <v>1.4</v>
      </c>
      <c r="G154">
        <v>3.3</v>
      </c>
      <c r="H154">
        <v>9.5</v>
      </c>
      <c r="I154">
        <v>2.6</v>
      </c>
      <c r="J154">
        <v>3.2</v>
      </c>
      <c r="K154">
        <v>0.1</v>
      </c>
      <c r="L154">
        <v>4.8</v>
      </c>
      <c r="M154">
        <v>2.2000000000000002</v>
      </c>
      <c r="N154">
        <v>6.2</v>
      </c>
    </row>
    <row r="155" spans="1:14" x14ac:dyDescent="0.4">
      <c r="A155" s="5">
        <v>45914</v>
      </c>
      <c r="B155">
        <v>9.4</v>
      </c>
      <c r="C155">
        <v>7.5</v>
      </c>
      <c r="D155">
        <v>2.2000000000000002</v>
      </c>
      <c r="E155">
        <v>-4.8</v>
      </c>
      <c r="F155">
        <v>-3.6</v>
      </c>
      <c r="G155">
        <v>-0.6</v>
      </c>
      <c r="H155">
        <v>1</v>
      </c>
      <c r="I155">
        <v>5.6</v>
      </c>
      <c r="J155">
        <v>-0.6</v>
      </c>
      <c r="K155">
        <v>-3.8</v>
      </c>
      <c r="L155">
        <v>-2.8</v>
      </c>
      <c r="M155">
        <v>-1</v>
      </c>
      <c r="N155">
        <v>1.7</v>
      </c>
    </row>
    <row r="156" spans="1:14" x14ac:dyDescent="0.4">
      <c r="A156" s="5">
        <v>45915</v>
      </c>
      <c r="B156">
        <v>0.9</v>
      </c>
      <c r="C156">
        <v>4.7</v>
      </c>
      <c r="D156">
        <v>1.2</v>
      </c>
      <c r="E156">
        <v>1.1000000000000001</v>
      </c>
      <c r="F156">
        <v>1.2</v>
      </c>
      <c r="G156">
        <v>1.4</v>
      </c>
      <c r="H156">
        <v>6.2</v>
      </c>
      <c r="I156">
        <v>5.5</v>
      </c>
      <c r="J156">
        <v>1.7</v>
      </c>
      <c r="K156">
        <v>-0.9</v>
      </c>
      <c r="L156">
        <v>1.7</v>
      </c>
      <c r="M156">
        <v>1.1000000000000001</v>
      </c>
      <c r="N156">
        <v>4.2</v>
      </c>
    </row>
    <row r="157" spans="1:14" x14ac:dyDescent="0.4">
      <c r="A157" s="5">
        <v>45916</v>
      </c>
      <c r="B157">
        <v>-1.4</v>
      </c>
      <c r="C157">
        <v>-1.5</v>
      </c>
      <c r="D157">
        <v>-3.3</v>
      </c>
      <c r="E157">
        <v>-4.5</v>
      </c>
      <c r="F157">
        <v>-7.3</v>
      </c>
      <c r="G157">
        <v>2.5</v>
      </c>
      <c r="H157">
        <v>1</v>
      </c>
      <c r="I157">
        <v>-0.3</v>
      </c>
      <c r="J157">
        <v>-5.2</v>
      </c>
      <c r="K157">
        <v>-7.5</v>
      </c>
      <c r="L157">
        <v>-5.6</v>
      </c>
      <c r="M157">
        <v>-0.7</v>
      </c>
      <c r="N157">
        <v>-1.8</v>
      </c>
    </row>
    <row r="158" spans="1:14" x14ac:dyDescent="0.4">
      <c r="A158" s="5">
        <v>45917</v>
      </c>
      <c r="B158">
        <v>2.1</v>
      </c>
      <c r="C158">
        <v>0.4</v>
      </c>
      <c r="D158">
        <v>-2.2999999999999998</v>
      </c>
      <c r="E158">
        <v>-6</v>
      </c>
      <c r="F158">
        <v>-7.7</v>
      </c>
      <c r="G158">
        <v>-5.7</v>
      </c>
      <c r="H158">
        <v>0.2</v>
      </c>
      <c r="I158">
        <v>1.3</v>
      </c>
      <c r="J158">
        <v>-5.3</v>
      </c>
      <c r="K158">
        <v>-7.9</v>
      </c>
      <c r="L158">
        <v>-6.5</v>
      </c>
      <c r="M158">
        <v>-6.4</v>
      </c>
      <c r="N158">
        <v>0</v>
      </c>
    </row>
    <row r="159" spans="1:14" x14ac:dyDescent="0.4">
      <c r="A159" s="5">
        <v>45918</v>
      </c>
      <c r="B159">
        <v>3.5</v>
      </c>
      <c r="C159">
        <v>5.3</v>
      </c>
      <c r="D159">
        <v>1.8</v>
      </c>
      <c r="E159">
        <v>-1.7</v>
      </c>
      <c r="F159">
        <v>-6.2</v>
      </c>
      <c r="G159">
        <v>-0.6</v>
      </c>
      <c r="H159">
        <v>0.3</v>
      </c>
      <c r="I159">
        <v>7.7</v>
      </c>
      <c r="J159">
        <v>-0.1</v>
      </c>
      <c r="K159">
        <v>-0.6</v>
      </c>
      <c r="L159">
        <v>-2.2000000000000002</v>
      </c>
      <c r="M159">
        <v>-0.7</v>
      </c>
      <c r="N159">
        <v>2</v>
      </c>
    </row>
    <row r="160" spans="1:14" x14ac:dyDescent="0.4">
      <c r="A160" s="5">
        <v>45919</v>
      </c>
      <c r="B160">
        <v>2</v>
      </c>
      <c r="C160">
        <v>3.2</v>
      </c>
      <c r="D160">
        <v>0.4</v>
      </c>
      <c r="E160">
        <v>-3.2</v>
      </c>
      <c r="F160">
        <v>-4.2</v>
      </c>
      <c r="G160">
        <v>2</v>
      </c>
      <c r="H160">
        <v>1</v>
      </c>
      <c r="I160">
        <v>5.4</v>
      </c>
      <c r="J160">
        <v>0.8</v>
      </c>
      <c r="K160">
        <v>-5.5</v>
      </c>
      <c r="L160">
        <v>-2.4</v>
      </c>
      <c r="M160">
        <v>-0.7</v>
      </c>
      <c r="N160">
        <v>3.8</v>
      </c>
    </row>
    <row r="161" spans="1:14" x14ac:dyDescent="0.4">
      <c r="A161" s="5">
        <v>45920</v>
      </c>
      <c r="B161">
        <v>10.9</v>
      </c>
      <c r="C161">
        <v>10.4</v>
      </c>
      <c r="D161">
        <v>8.1999999999999993</v>
      </c>
      <c r="E161">
        <v>3.6</v>
      </c>
      <c r="F161">
        <v>4.2</v>
      </c>
      <c r="G161">
        <v>-1.8</v>
      </c>
      <c r="H161">
        <v>-0.6</v>
      </c>
      <c r="I161">
        <v>9.6</v>
      </c>
      <c r="J161">
        <v>4.5</v>
      </c>
      <c r="K161">
        <v>6.9</v>
      </c>
      <c r="L161">
        <v>4.0999999999999996</v>
      </c>
      <c r="M161">
        <v>-3.7</v>
      </c>
      <c r="N161">
        <v>3</v>
      </c>
    </row>
    <row r="162" spans="1:14" x14ac:dyDescent="0.4">
      <c r="A162" s="5">
        <v>45921</v>
      </c>
      <c r="B162">
        <v>10.4</v>
      </c>
      <c r="C162">
        <v>6.7</v>
      </c>
      <c r="D162" t="s">
        <v>112</v>
      </c>
      <c r="E162">
        <v>3.1</v>
      </c>
      <c r="F162">
        <v>0.7</v>
      </c>
      <c r="G162">
        <v>6.2</v>
      </c>
      <c r="H162">
        <v>8.5</v>
      </c>
      <c r="I162">
        <v>5.0999999999999996</v>
      </c>
      <c r="J162">
        <v>5.0999999999999996</v>
      </c>
      <c r="K162">
        <v>1.3</v>
      </c>
      <c r="L162">
        <v>2.4</v>
      </c>
      <c r="M162">
        <v>5</v>
      </c>
      <c r="N162">
        <v>11.4</v>
      </c>
    </row>
    <row r="163" spans="1:14" x14ac:dyDescent="0.4">
      <c r="A163" s="5">
        <v>45922</v>
      </c>
      <c r="B163">
        <v>9.3000000000000007</v>
      </c>
      <c r="C163">
        <v>8.6</v>
      </c>
      <c r="D163">
        <v>6.7</v>
      </c>
      <c r="E163">
        <v>4</v>
      </c>
      <c r="F163">
        <v>0.6</v>
      </c>
      <c r="G163">
        <v>3.1</v>
      </c>
      <c r="H163">
        <v>6.1</v>
      </c>
      <c r="I163">
        <v>8.6</v>
      </c>
      <c r="J163">
        <v>2.9</v>
      </c>
      <c r="K163">
        <v>3.9</v>
      </c>
      <c r="L163">
        <v>2.2000000000000002</v>
      </c>
      <c r="M163">
        <v>4</v>
      </c>
      <c r="N163">
        <v>8.5</v>
      </c>
    </row>
    <row r="164" spans="1:14" x14ac:dyDescent="0.4">
      <c r="A164" s="5">
        <v>45923</v>
      </c>
      <c r="B164">
        <v>3.8</v>
      </c>
      <c r="C164">
        <v>2.5</v>
      </c>
      <c r="D164">
        <v>0.9</v>
      </c>
      <c r="E164">
        <v>-0.2</v>
      </c>
      <c r="F164">
        <v>-5.5</v>
      </c>
      <c r="G164">
        <v>-1.5</v>
      </c>
      <c r="H164">
        <v>10</v>
      </c>
      <c r="I164">
        <v>3.4</v>
      </c>
      <c r="J164">
        <v>-1.5</v>
      </c>
      <c r="K164">
        <v>-7.1</v>
      </c>
      <c r="L164">
        <v>2.9</v>
      </c>
      <c r="M164">
        <v>-3.7</v>
      </c>
      <c r="N164">
        <v>7.2</v>
      </c>
    </row>
    <row r="165" spans="1:14" x14ac:dyDescent="0.4">
      <c r="A165" s="5">
        <v>45924</v>
      </c>
      <c r="B165">
        <v>4.3</v>
      </c>
      <c r="C165">
        <v>3.4</v>
      </c>
      <c r="D165">
        <v>1.6</v>
      </c>
      <c r="E165">
        <v>-0.6</v>
      </c>
      <c r="F165">
        <v>-2.5</v>
      </c>
      <c r="G165">
        <v>-1.2</v>
      </c>
      <c r="H165">
        <v>2.1</v>
      </c>
      <c r="I165">
        <v>6.3</v>
      </c>
      <c r="J165">
        <v>-1.1000000000000001</v>
      </c>
      <c r="K165">
        <v>-4.5999999999999996</v>
      </c>
      <c r="L165">
        <v>-0.9</v>
      </c>
      <c r="M165">
        <v>-4.0999999999999996</v>
      </c>
      <c r="N165">
        <v>2.2000000000000002</v>
      </c>
    </row>
    <row r="166" spans="1:14" x14ac:dyDescent="0.4">
      <c r="A166" s="5">
        <v>45925</v>
      </c>
      <c r="B166">
        <v>4.4000000000000004</v>
      </c>
      <c r="C166">
        <v>3.8</v>
      </c>
      <c r="D166">
        <v>0.6</v>
      </c>
      <c r="E166">
        <v>0.1</v>
      </c>
      <c r="F166">
        <v>1.6</v>
      </c>
      <c r="G166">
        <v>-0.9</v>
      </c>
      <c r="H166">
        <v>1.2</v>
      </c>
      <c r="I166">
        <v>4.8</v>
      </c>
      <c r="J166">
        <v>0.2</v>
      </c>
      <c r="K166">
        <v>-4</v>
      </c>
      <c r="L166">
        <v>-0.4</v>
      </c>
      <c r="M166">
        <v>-2</v>
      </c>
      <c r="N166">
        <v>4.2</v>
      </c>
    </row>
    <row r="167" spans="1:14" x14ac:dyDescent="0.4">
      <c r="A167" s="5">
        <v>45926</v>
      </c>
      <c r="B167">
        <v>3.2</v>
      </c>
      <c r="C167">
        <v>4</v>
      </c>
      <c r="D167">
        <v>-0.3</v>
      </c>
      <c r="E167">
        <v>-0.2</v>
      </c>
      <c r="F167">
        <v>-1.7</v>
      </c>
      <c r="G167">
        <v>-1.5</v>
      </c>
      <c r="H167">
        <v>2.5</v>
      </c>
      <c r="I167">
        <v>4.4000000000000004</v>
      </c>
      <c r="J167">
        <v>-0.9</v>
      </c>
      <c r="K167">
        <v>-5</v>
      </c>
      <c r="L167">
        <v>0.2</v>
      </c>
      <c r="M167">
        <v>-3.2</v>
      </c>
      <c r="N167">
        <v>6.1</v>
      </c>
    </row>
    <row r="168" spans="1:14" x14ac:dyDescent="0.4">
      <c r="A168" s="5">
        <v>45927</v>
      </c>
      <c r="B168">
        <v>4.4000000000000004</v>
      </c>
      <c r="C168">
        <v>3.4</v>
      </c>
      <c r="D168">
        <v>0.6</v>
      </c>
      <c r="E168">
        <v>-0.1</v>
      </c>
      <c r="F168">
        <v>-4</v>
      </c>
      <c r="G168">
        <v>-1.3</v>
      </c>
      <c r="H168">
        <v>3.2</v>
      </c>
      <c r="I168">
        <v>4.9000000000000004</v>
      </c>
      <c r="J168">
        <v>-1.1000000000000001</v>
      </c>
      <c r="K168">
        <v>-3.8</v>
      </c>
      <c r="L168">
        <v>0.3</v>
      </c>
      <c r="M168">
        <v>-3.9</v>
      </c>
      <c r="N168">
        <v>7</v>
      </c>
    </row>
    <row r="169" spans="1:14" x14ac:dyDescent="0.4">
      <c r="A169" s="5">
        <v>45928</v>
      </c>
      <c r="B169">
        <v>4.4000000000000004</v>
      </c>
      <c r="C169">
        <v>4.8</v>
      </c>
      <c r="D169">
        <v>3</v>
      </c>
      <c r="E169">
        <v>1.4</v>
      </c>
      <c r="F169">
        <v>-3.5</v>
      </c>
      <c r="G169">
        <v>-0.5</v>
      </c>
      <c r="H169">
        <v>1.9</v>
      </c>
      <c r="I169">
        <v>5.9</v>
      </c>
      <c r="J169">
        <v>1.3</v>
      </c>
      <c r="K169">
        <v>-3</v>
      </c>
      <c r="L169">
        <v>1.9</v>
      </c>
      <c r="M169">
        <v>-1.4</v>
      </c>
      <c r="N169">
        <v>6.4</v>
      </c>
    </row>
    <row r="170" spans="1:14" x14ac:dyDescent="0.4">
      <c r="A170" s="5">
        <v>45929</v>
      </c>
      <c r="B170">
        <v>6.5</v>
      </c>
      <c r="C170">
        <v>3.9</v>
      </c>
      <c r="D170">
        <v>2.7</v>
      </c>
      <c r="E170">
        <v>0</v>
      </c>
      <c r="F170">
        <v>-5.4</v>
      </c>
      <c r="G170">
        <v>-1.9</v>
      </c>
      <c r="H170">
        <v>3.5</v>
      </c>
      <c r="I170">
        <v>7</v>
      </c>
      <c r="J170">
        <v>1.4</v>
      </c>
      <c r="K170">
        <v>-4.9000000000000004</v>
      </c>
      <c r="L170">
        <v>-0.3</v>
      </c>
      <c r="M170">
        <v>-3</v>
      </c>
      <c r="N170">
        <v>5.0999999999999996</v>
      </c>
    </row>
    <row r="171" spans="1:14" x14ac:dyDescent="0.4">
      <c r="A171" s="5">
        <v>45930</v>
      </c>
      <c r="B171">
        <v>6.6</v>
      </c>
      <c r="C171">
        <v>4.5</v>
      </c>
      <c r="D171">
        <v>4.8</v>
      </c>
      <c r="E171">
        <v>0.7</v>
      </c>
      <c r="F171">
        <v>-5.5</v>
      </c>
      <c r="G171">
        <v>3.9</v>
      </c>
      <c r="H171">
        <v>4.5999999999999996</v>
      </c>
      <c r="I171">
        <v>5</v>
      </c>
      <c r="J171">
        <v>2.8</v>
      </c>
      <c r="K171">
        <v>-0.2</v>
      </c>
      <c r="L171">
        <v>-1.2</v>
      </c>
      <c r="M171">
        <v>3</v>
      </c>
      <c r="N171">
        <v>4.7</v>
      </c>
    </row>
    <row r="172" spans="1:14" x14ac:dyDescent="0.4">
      <c r="A172" s="5">
        <v>45931</v>
      </c>
      <c r="B172">
        <v>7.3</v>
      </c>
      <c r="C172">
        <v>4.3</v>
      </c>
      <c r="D172">
        <v>7</v>
      </c>
      <c r="E172">
        <v>4</v>
      </c>
      <c r="F172">
        <v>2.8</v>
      </c>
      <c r="G172">
        <v>2.1</v>
      </c>
      <c r="H172">
        <v>3</v>
      </c>
      <c r="I172">
        <v>2.8</v>
      </c>
      <c r="J172">
        <v>6.7</v>
      </c>
      <c r="K172">
        <v>4.7</v>
      </c>
      <c r="L172">
        <v>4</v>
      </c>
      <c r="M172">
        <v>2.2999999999999998</v>
      </c>
      <c r="N172">
        <v>5.9</v>
      </c>
    </row>
    <row r="173" spans="1:14" x14ac:dyDescent="0.4">
      <c r="A173" s="5">
        <v>45932</v>
      </c>
      <c r="B173">
        <v>5.5</v>
      </c>
      <c r="C173">
        <v>5.6</v>
      </c>
      <c r="D173">
        <v>3.2</v>
      </c>
      <c r="E173">
        <v>1.5</v>
      </c>
      <c r="F173">
        <v>1.8</v>
      </c>
      <c r="G173">
        <v>0.1</v>
      </c>
      <c r="H173">
        <v>0.3</v>
      </c>
      <c r="I173">
        <v>6.9</v>
      </c>
      <c r="J173">
        <v>2.7</v>
      </c>
      <c r="K173">
        <v>-1.4</v>
      </c>
      <c r="L173">
        <v>2.9</v>
      </c>
      <c r="M173">
        <v>0.7</v>
      </c>
      <c r="N173">
        <v>8.9</v>
      </c>
    </row>
    <row r="174" spans="1:14" x14ac:dyDescent="0.4">
      <c r="A174" s="5">
        <v>45933</v>
      </c>
      <c r="B174">
        <v>-1.6</v>
      </c>
      <c r="C174">
        <v>-3.7</v>
      </c>
      <c r="D174">
        <v>-1.1000000000000001</v>
      </c>
      <c r="E174">
        <v>-5.0999999999999996</v>
      </c>
      <c r="F174">
        <v>-8.5</v>
      </c>
      <c r="G174">
        <v>-6.6</v>
      </c>
      <c r="H174">
        <v>1.2</v>
      </c>
      <c r="I174">
        <v>-2.2999999999999998</v>
      </c>
      <c r="J174">
        <v>-1.8</v>
      </c>
      <c r="K174">
        <v>-6.8</v>
      </c>
      <c r="L174">
        <v>-5.4</v>
      </c>
      <c r="M174">
        <v>-6.5</v>
      </c>
      <c r="N174">
        <v>3.8</v>
      </c>
    </row>
    <row r="175" spans="1:14" x14ac:dyDescent="0.4">
      <c r="A175" s="5">
        <v>45934</v>
      </c>
      <c r="B175">
        <v>-2</v>
      </c>
      <c r="C175">
        <v>-3.7</v>
      </c>
      <c r="D175">
        <v>-5.2</v>
      </c>
      <c r="E175">
        <v>-7</v>
      </c>
      <c r="F175">
        <v>-12.5</v>
      </c>
      <c r="G175">
        <v>-10.1</v>
      </c>
      <c r="H175">
        <v>-3.4</v>
      </c>
      <c r="I175">
        <v>-1.2</v>
      </c>
      <c r="J175">
        <v>-5.8</v>
      </c>
      <c r="K175">
        <v>-8.1999999999999993</v>
      </c>
      <c r="L175">
        <v>-6.8</v>
      </c>
      <c r="M175">
        <v>-8.6</v>
      </c>
      <c r="N175">
        <v>0.9</v>
      </c>
    </row>
    <row r="176" spans="1:14" x14ac:dyDescent="0.4">
      <c r="A176" s="5">
        <v>45935</v>
      </c>
      <c r="B176">
        <v>-1.1000000000000001</v>
      </c>
      <c r="C176">
        <v>-2.6</v>
      </c>
      <c r="D176">
        <v>-1.2</v>
      </c>
      <c r="E176">
        <v>-5.5</v>
      </c>
      <c r="F176">
        <v>-11.1</v>
      </c>
      <c r="G176">
        <v>-4.8</v>
      </c>
      <c r="H176">
        <v>-3.1</v>
      </c>
      <c r="I176">
        <v>-1.5</v>
      </c>
      <c r="J176">
        <v>-2.1</v>
      </c>
      <c r="K176">
        <v>-3.3</v>
      </c>
      <c r="L176">
        <v>-6</v>
      </c>
      <c r="M176">
        <v>-5.5</v>
      </c>
      <c r="N176">
        <v>0.2</v>
      </c>
    </row>
    <row r="177" spans="1:14" x14ac:dyDescent="0.4">
      <c r="A177" s="5">
        <v>45936</v>
      </c>
      <c r="B177">
        <v>-0.6</v>
      </c>
      <c r="C177">
        <v>-4.5</v>
      </c>
      <c r="D177">
        <v>-4</v>
      </c>
      <c r="E177">
        <v>-7</v>
      </c>
      <c r="F177">
        <v>-10.5</v>
      </c>
      <c r="G177">
        <v>-5.2</v>
      </c>
      <c r="H177">
        <v>-0.4</v>
      </c>
      <c r="I177">
        <v>-6.9</v>
      </c>
      <c r="J177">
        <v>-4.5</v>
      </c>
      <c r="K177">
        <v>-11.7</v>
      </c>
      <c r="L177">
        <v>-6.2</v>
      </c>
      <c r="M177">
        <v>-5.2</v>
      </c>
      <c r="N177">
        <v>-2.6</v>
      </c>
    </row>
    <row r="178" spans="1:14" x14ac:dyDescent="0.4">
      <c r="A178" s="5">
        <v>45937</v>
      </c>
      <c r="B178">
        <v>-6.2</v>
      </c>
      <c r="C178">
        <v>-6.8</v>
      </c>
      <c r="D178">
        <v>-7.8</v>
      </c>
      <c r="E178">
        <v>-12.9</v>
      </c>
      <c r="F178">
        <v>-18.100000000000001</v>
      </c>
      <c r="G178">
        <v>-14.4</v>
      </c>
      <c r="H178">
        <v>-8.5</v>
      </c>
      <c r="I178">
        <v>-8.4</v>
      </c>
      <c r="J178">
        <v>-10</v>
      </c>
      <c r="K178">
        <v>-18.399999999999999</v>
      </c>
      <c r="L178">
        <v>-14</v>
      </c>
      <c r="M178">
        <v>-16.3</v>
      </c>
      <c r="N178">
        <v>-6.1</v>
      </c>
    </row>
    <row r="179" spans="1:14" x14ac:dyDescent="0.4">
      <c r="A179" s="5">
        <v>45938</v>
      </c>
      <c r="B179">
        <v>-8</v>
      </c>
      <c r="C179">
        <v>-6.4</v>
      </c>
      <c r="D179">
        <v>-6.8</v>
      </c>
      <c r="E179">
        <v>-9</v>
      </c>
      <c r="F179">
        <v>-13.6</v>
      </c>
      <c r="G179">
        <v>-11.3</v>
      </c>
      <c r="H179">
        <v>-9.6</v>
      </c>
      <c r="I179">
        <v>-7.1</v>
      </c>
      <c r="J179">
        <v>-7.8</v>
      </c>
      <c r="K179">
        <v>-11.8</v>
      </c>
      <c r="L179">
        <v>-10.1</v>
      </c>
      <c r="M179">
        <v>-12.2</v>
      </c>
      <c r="N179">
        <v>-2.7</v>
      </c>
    </row>
    <row r="180" spans="1:14" x14ac:dyDescent="0.4">
      <c r="A180" s="5">
        <v>45939</v>
      </c>
      <c r="B180">
        <v>-3.6</v>
      </c>
      <c r="C180">
        <v>-3.8</v>
      </c>
      <c r="D180">
        <v>-7</v>
      </c>
      <c r="E180">
        <v>-8.1</v>
      </c>
      <c r="F180">
        <v>-13.9</v>
      </c>
      <c r="G180">
        <v>-9.5</v>
      </c>
      <c r="H180">
        <v>-8.9</v>
      </c>
      <c r="I180">
        <v>-5.3</v>
      </c>
      <c r="J180">
        <v>-6.5</v>
      </c>
      <c r="K180">
        <v>-10.199999999999999</v>
      </c>
      <c r="L180">
        <v>-9</v>
      </c>
      <c r="M180">
        <v>-11.8</v>
      </c>
      <c r="N180">
        <v>-2.2000000000000002</v>
      </c>
    </row>
    <row r="181" spans="1:14" x14ac:dyDescent="0.4">
      <c r="A181" s="5">
        <v>45940</v>
      </c>
      <c r="B181">
        <v>-4</v>
      </c>
      <c r="C181">
        <v>-2.1</v>
      </c>
      <c r="D181">
        <v>-3.6</v>
      </c>
      <c r="E181">
        <v>-6</v>
      </c>
      <c r="F181">
        <v>-8.8000000000000007</v>
      </c>
      <c r="G181">
        <v>-7.8</v>
      </c>
      <c r="H181">
        <v>-2.5</v>
      </c>
      <c r="I181">
        <v>-5.6</v>
      </c>
      <c r="J181">
        <v>-4.4000000000000004</v>
      </c>
      <c r="K181">
        <v>-7.1</v>
      </c>
      <c r="L181">
        <v>-6.7</v>
      </c>
      <c r="M181">
        <v>-6</v>
      </c>
      <c r="N181">
        <v>-1.1000000000000001</v>
      </c>
    </row>
    <row r="182" spans="1:14" x14ac:dyDescent="0.4">
      <c r="A182" s="5">
        <v>45941</v>
      </c>
      <c r="B182">
        <v>-1.3</v>
      </c>
      <c r="C182">
        <v>-1.5</v>
      </c>
      <c r="D182">
        <v>-2.2999999999999998</v>
      </c>
      <c r="E182">
        <v>-7.3</v>
      </c>
      <c r="F182">
        <v>-12</v>
      </c>
      <c r="G182">
        <v>-9.6999999999999993</v>
      </c>
      <c r="H182">
        <v>-9.9</v>
      </c>
      <c r="I182">
        <v>-1.7</v>
      </c>
      <c r="J182">
        <v>-3.9</v>
      </c>
      <c r="K182">
        <v>-7.4</v>
      </c>
      <c r="L182">
        <v>-7.8</v>
      </c>
      <c r="M182">
        <v>-8.1</v>
      </c>
      <c r="N182">
        <v>-5.5</v>
      </c>
    </row>
    <row r="183" spans="1:14" x14ac:dyDescent="0.4">
      <c r="A183" s="5">
        <v>45942</v>
      </c>
      <c r="B183">
        <v>-7.2</v>
      </c>
      <c r="C183">
        <v>-4.0999999999999996</v>
      </c>
      <c r="D183">
        <v>-4.4000000000000004</v>
      </c>
      <c r="E183">
        <v>-5.7</v>
      </c>
      <c r="F183">
        <v>-13.1</v>
      </c>
      <c r="G183">
        <v>-16.3</v>
      </c>
      <c r="H183">
        <v>-4</v>
      </c>
      <c r="I183">
        <v>-2.2999999999999998</v>
      </c>
      <c r="J183">
        <v>-9.3000000000000007</v>
      </c>
      <c r="K183">
        <v>-6.1</v>
      </c>
      <c r="L183">
        <v>-4.4000000000000004</v>
      </c>
      <c r="M183">
        <v>-15.7</v>
      </c>
      <c r="N183">
        <v>-3.9</v>
      </c>
    </row>
    <row r="184" spans="1:14" x14ac:dyDescent="0.4">
      <c r="A184" s="5">
        <v>45943</v>
      </c>
      <c r="B184">
        <v>-0.3</v>
      </c>
      <c r="C184">
        <v>-1.8</v>
      </c>
      <c r="D184">
        <v>-3.7</v>
      </c>
      <c r="E184">
        <v>-4.3</v>
      </c>
      <c r="F184">
        <v>-6.6</v>
      </c>
      <c r="G184">
        <v>-16</v>
      </c>
      <c r="H184">
        <v>-11</v>
      </c>
      <c r="I184">
        <v>-1.7</v>
      </c>
      <c r="J184">
        <v>-7.4</v>
      </c>
      <c r="K184">
        <v>-5.4</v>
      </c>
      <c r="L184">
        <v>-4.5</v>
      </c>
      <c r="M184">
        <v>-20.6</v>
      </c>
      <c r="N184">
        <v>-3.2</v>
      </c>
    </row>
    <row r="185" spans="1:14" x14ac:dyDescent="0.4">
      <c r="A185" s="5">
        <v>45944</v>
      </c>
      <c r="B185">
        <v>-5.6</v>
      </c>
      <c r="C185">
        <v>-5.5</v>
      </c>
      <c r="D185">
        <v>-15.4</v>
      </c>
      <c r="E185">
        <v>-6.9</v>
      </c>
      <c r="F185">
        <v>-8</v>
      </c>
      <c r="G185">
        <v>-9.3000000000000007</v>
      </c>
      <c r="H185">
        <v>-3.3</v>
      </c>
      <c r="I185">
        <v>-4.5999999999999996</v>
      </c>
      <c r="J185">
        <v>-14.3</v>
      </c>
      <c r="K185">
        <v>-19.2</v>
      </c>
      <c r="L185">
        <v>-9.1999999999999993</v>
      </c>
      <c r="M185">
        <v>-10.5</v>
      </c>
      <c r="N185">
        <v>-4.7</v>
      </c>
    </row>
    <row r="186" spans="1:14" x14ac:dyDescent="0.4">
      <c r="A186" s="5">
        <v>45945</v>
      </c>
      <c r="B186">
        <v>-9</v>
      </c>
      <c r="C186">
        <v>-9.6999999999999993</v>
      </c>
      <c r="D186">
        <v>-14.1</v>
      </c>
      <c r="E186">
        <v>-9.1999999999999993</v>
      </c>
      <c r="F186">
        <v>-15.2</v>
      </c>
      <c r="G186">
        <v>-10.199999999999999</v>
      </c>
      <c r="H186">
        <v>-6.5</v>
      </c>
      <c r="I186">
        <v>-5.4</v>
      </c>
      <c r="J186">
        <v>-15.6</v>
      </c>
      <c r="K186">
        <v>-23.6</v>
      </c>
      <c r="L186">
        <v>-11.1</v>
      </c>
      <c r="M186">
        <v>-17.399999999999999</v>
      </c>
      <c r="N186">
        <v>-6</v>
      </c>
    </row>
    <row r="187" spans="1:14" x14ac:dyDescent="0.4">
      <c r="A187" s="5">
        <v>45946</v>
      </c>
      <c r="B187">
        <v>-7</v>
      </c>
      <c r="C187">
        <v>-6.7</v>
      </c>
      <c r="D187">
        <v>-10.4</v>
      </c>
      <c r="E187">
        <v>-11.4</v>
      </c>
      <c r="F187">
        <v>-11.8</v>
      </c>
      <c r="G187">
        <v>-13.4</v>
      </c>
      <c r="H187">
        <v>-9.4</v>
      </c>
      <c r="I187">
        <v>-9.4</v>
      </c>
      <c r="J187">
        <v>-11.9</v>
      </c>
      <c r="K187">
        <v>-21.6</v>
      </c>
      <c r="L187">
        <v>-10.3</v>
      </c>
      <c r="M187">
        <v>-20.2</v>
      </c>
      <c r="N187">
        <v>-8.9</v>
      </c>
    </row>
    <row r="188" spans="1:14" x14ac:dyDescent="0.4">
      <c r="A188" s="5">
        <v>45947</v>
      </c>
      <c r="B188">
        <v>-11.3</v>
      </c>
      <c r="C188">
        <v>-14.6</v>
      </c>
      <c r="D188">
        <v>-19.3</v>
      </c>
      <c r="E188">
        <v>-15.2</v>
      </c>
      <c r="F188">
        <v>-24</v>
      </c>
      <c r="G188">
        <v>-20.399999999999999</v>
      </c>
      <c r="H188">
        <v>-14.8</v>
      </c>
      <c r="I188">
        <v>-9.6999999999999993</v>
      </c>
      <c r="J188">
        <v>-20.8</v>
      </c>
      <c r="K188">
        <v>-28.4</v>
      </c>
      <c r="L188">
        <v>-15.5</v>
      </c>
      <c r="M188">
        <v>-22.5</v>
      </c>
      <c r="N188">
        <v>-14.4</v>
      </c>
    </row>
    <row r="189" spans="1:14" x14ac:dyDescent="0.4">
      <c r="A189" s="5">
        <v>45948</v>
      </c>
      <c r="B189">
        <v>-12.2</v>
      </c>
      <c r="C189">
        <v>-16.100000000000001</v>
      </c>
      <c r="D189">
        <v>-22</v>
      </c>
      <c r="E189">
        <v>-18.899999999999999</v>
      </c>
      <c r="F189">
        <v>-24</v>
      </c>
      <c r="G189">
        <v>-22.2</v>
      </c>
      <c r="H189">
        <v>-13</v>
      </c>
      <c r="I189">
        <v>-9.8000000000000007</v>
      </c>
      <c r="J189">
        <v>-21.8</v>
      </c>
      <c r="K189">
        <v>-30.2</v>
      </c>
      <c r="L189">
        <v>-20.7</v>
      </c>
      <c r="M189">
        <v>-28.2</v>
      </c>
      <c r="N189">
        <v>-16.3</v>
      </c>
    </row>
    <row r="190" spans="1:14" x14ac:dyDescent="0.4">
      <c r="A190" s="5">
        <v>45949</v>
      </c>
      <c r="B190">
        <v>-11.5</v>
      </c>
      <c r="C190">
        <v>-15.7</v>
      </c>
      <c r="D190">
        <v>-21.8</v>
      </c>
      <c r="E190">
        <v>-19.899999999999999</v>
      </c>
      <c r="F190">
        <v>-25.7</v>
      </c>
      <c r="G190">
        <v>-21.4</v>
      </c>
      <c r="H190">
        <v>-15.9</v>
      </c>
      <c r="I190">
        <v>-9.9</v>
      </c>
      <c r="J190">
        <v>-23.2</v>
      </c>
      <c r="K190">
        <v>-28.9</v>
      </c>
      <c r="L190">
        <v>-21.3</v>
      </c>
      <c r="M190">
        <v>-26.6</v>
      </c>
      <c r="N190">
        <v>-15.1</v>
      </c>
    </row>
    <row r="191" spans="1:14" x14ac:dyDescent="0.4">
      <c r="A191" s="5">
        <v>45950</v>
      </c>
      <c r="B191">
        <v>-11.2</v>
      </c>
      <c r="C191">
        <v>-15.5</v>
      </c>
      <c r="D191">
        <v>-22.2</v>
      </c>
      <c r="E191">
        <v>-19.899999999999999</v>
      </c>
      <c r="F191">
        <v>-25.5</v>
      </c>
      <c r="G191">
        <v>-21.3</v>
      </c>
      <c r="H191">
        <v>-15.6</v>
      </c>
      <c r="I191">
        <v>-9.9</v>
      </c>
      <c r="J191">
        <v>-22.2</v>
      </c>
      <c r="K191">
        <v>-28.7</v>
      </c>
      <c r="L191">
        <v>-21</v>
      </c>
      <c r="M191">
        <v>-26.1</v>
      </c>
      <c r="N191">
        <v>-15.6</v>
      </c>
    </row>
    <row r="192" spans="1:14" x14ac:dyDescent="0.4">
      <c r="A192" s="5">
        <v>45951</v>
      </c>
      <c r="B192">
        <v>-11.6</v>
      </c>
      <c r="C192">
        <v>-14.3</v>
      </c>
      <c r="D192">
        <v>-20.3</v>
      </c>
      <c r="E192">
        <v>-17.100000000000001</v>
      </c>
      <c r="F192">
        <v>-25</v>
      </c>
      <c r="G192">
        <v>-21.2</v>
      </c>
      <c r="H192">
        <v>-16</v>
      </c>
      <c r="I192">
        <v>-8.5</v>
      </c>
      <c r="J192">
        <v>-22.4</v>
      </c>
      <c r="K192">
        <v>-26.7</v>
      </c>
      <c r="L192">
        <v>-19.8</v>
      </c>
      <c r="M192">
        <v>-25.4</v>
      </c>
      <c r="N192">
        <v>-15.2</v>
      </c>
    </row>
    <row r="193" spans="1:14" x14ac:dyDescent="0.4">
      <c r="A193" s="5">
        <v>45952</v>
      </c>
      <c r="B193">
        <v>-10.199999999999999</v>
      </c>
      <c r="C193">
        <v>-13.1</v>
      </c>
      <c r="D193">
        <v>-18.399999999999999</v>
      </c>
      <c r="E193">
        <v>-16.8</v>
      </c>
      <c r="F193">
        <v>-22.4</v>
      </c>
      <c r="G193">
        <v>-20.399999999999999</v>
      </c>
      <c r="H193">
        <v>-15.9</v>
      </c>
      <c r="I193">
        <v>-7.1</v>
      </c>
      <c r="J193">
        <v>-19.3</v>
      </c>
      <c r="K193">
        <v>-24.2</v>
      </c>
      <c r="L193">
        <v>-18.5</v>
      </c>
      <c r="M193">
        <v>-24.7</v>
      </c>
      <c r="N193">
        <v>-14.1</v>
      </c>
    </row>
    <row r="194" spans="1:14" x14ac:dyDescent="0.4">
      <c r="A194" s="5">
        <v>45953</v>
      </c>
      <c r="B194">
        <v>-8.3000000000000007</v>
      </c>
      <c r="C194">
        <v>-13</v>
      </c>
      <c r="D194">
        <v>-17.5</v>
      </c>
      <c r="E194">
        <v>-13.8</v>
      </c>
      <c r="F194">
        <v>-19.7</v>
      </c>
      <c r="G194">
        <v>-18.600000000000001</v>
      </c>
      <c r="H194">
        <v>-13.9</v>
      </c>
      <c r="I194">
        <v>-7.6</v>
      </c>
      <c r="J194">
        <v>-20.399999999999999</v>
      </c>
      <c r="K194">
        <v>-24</v>
      </c>
      <c r="L194">
        <v>-16.3</v>
      </c>
      <c r="M194">
        <v>-22.3</v>
      </c>
      <c r="N194">
        <v>-11.8</v>
      </c>
    </row>
    <row r="195" spans="1:14" x14ac:dyDescent="0.4">
      <c r="A195" s="5">
        <v>45954</v>
      </c>
      <c r="B195">
        <v>-6.2</v>
      </c>
      <c r="C195">
        <v>-12.3</v>
      </c>
      <c r="D195">
        <v>-18.5</v>
      </c>
      <c r="E195">
        <v>-10.5</v>
      </c>
      <c r="F195">
        <v>-20.6</v>
      </c>
      <c r="G195">
        <v>-17</v>
      </c>
      <c r="H195">
        <v>-14.3</v>
      </c>
      <c r="I195">
        <v>-7.6</v>
      </c>
      <c r="J195">
        <v>-18.600000000000001</v>
      </c>
      <c r="K195">
        <v>-24.4</v>
      </c>
      <c r="L195">
        <v>-15.2</v>
      </c>
      <c r="M195">
        <v>-19.8</v>
      </c>
      <c r="N195">
        <v>-12.5</v>
      </c>
    </row>
    <row r="196" spans="1:14" x14ac:dyDescent="0.4">
      <c r="A196" s="5">
        <v>45955</v>
      </c>
      <c r="B196">
        <v>-9.4</v>
      </c>
      <c r="C196">
        <v>-12.1</v>
      </c>
      <c r="D196">
        <v>-16.5</v>
      </c>
      <c r="E196">
        <v>-11.3</v>
      </c>
      <c r="F196">
        <v>-17.899999999999999</v>
      </c>
      <c r="G196">
        <v>-9.1</v>
      </c>
      <c r="H196">
        <v>-8.5</v>
      </c>
      <c r="I196">
        <v>-6.8</v>
      </c>
      <c r="J196">
        <v>-18.600000000000001</v>
      </c>
      <c r="K196">
        <v>-21.7</v>
      </c>
      <c r="L196">
        <v>-13.1</v>
      </c>
      <c r="M196">
        <v>-12.5</v>
      </c>
      <c r="N196">
        <v>-8</v>
      </c>
    </row>
    <row r="197" spans="1:14" x14ac:dyDescent="0.4">
      <c r="A197" s="5">
        <v>45956</v>
      </c>
      <c r="B197">
        <v>-10.5</v>
      </c>
      <c r="C197">
        <v>-11.6</v>
      </c>
      <c r="D197">
        <v>-16</v>
      </c>
      <c r="E197">
        <v>-15.4</v>
      </c>
      <c r="F197">
        <v>-20.2</v>
      </c>
      <c r="G197">
        <v>-16.100000000000001</v>
      </c>
      <c r="H197">
        <v>-16.600000000000001</v>
      </c>
      <c r="I197">
        <v>-5.7</v>
      </c>
      <c r="J197">
        <v>-18.600000000000001</v>
      </c>
      <c r="K197">
        <v>-23.6</v>
      </c>
      <c r="L197">
        <v>-15.2</v>
      </c>
      <c r="M197">
        <v>-19.600000000000001</v>
      </c>
      <c r="N197">
        <v>-13.3</v>
      </c>
    </row>
    <row r="198" spans="1:14" x14ac:dyDescent="0.4">
      <c r="A198" s="5">
        <v>45957</v>
      </c>
      <c r="B198">
        <v>-9</v>
      </c>
      <c r="C198">
        <v>-10.4</v>
      </c>
      <c r="D198">
        <v>-15</v>
      </c>
      <c r="E198">
        <v>-15.2</v>
      </c>
      <c r="F198">
        <v>-19.399999999999999</v>
      </c>
      <c r="G198">
        <v>-17.8</v>
      </c>
      <c r="H198">
        <v>-13.8</v>
      </c>
      <c r="I198">
        <v>-4.4000000000000004</v>
      </c>
      <c r="J198">
        <v>-18.399999999999999</v>
      </c>
      <c r="K198">
        <v>-19.899999999999999</v>
      </c>
      <c r="L198">
        <v>-15.4</v>
      </c>
      <c r="M198">
        <v>-21.5</v>
      </c>
      <c r="N198">
        <v>-9.1</v>
      </c>
    </row>
    <row r="199" spans="1:14" x14ac:dyDescent="0.4">
      <c r="A199" s="5">
        <v>45958</v>
      </c>
      <c r="B199">
        <v>-7</v>
      </c>
      <c r="C199" t="s">
        <v>112</v>
      </c>
      <c r="D199" t="s">
        <v>112</v>
      </c>
      <c r="E199" t="s">
        <v>112</v>
      </c>
      <c r="F199">
        <v>-10.7</v>
      </c>
      <c r="G199" t="s">
        <v>112</v>
      </c>
      <c r="H199">
        <v>-13</v>
      </c>
      <c r="I199">
        <v>-5.8</v>
      </c>
      <c r="J199">
        <v>-13.4</v>
      </c>
      <c r="K199">
        <v>-13.4</v>
      </c>
      <c r="L199">
        <v>-9.1999999999999993</v>
      </c>
      <c r="M199">
        <v>-15.5</v>
      </c>
      <c r="N199">
        <v>-7.6</v>
      </c>
    </row>
    <row r="200" spans="1:14" x14ac:dyDescent="0.4">
      <c r="A200" s="5">
        <v>45959</v>
      </c>
      <c r="B200">
        <v>-7.8</v>
      </c>
      <c r="C200">
        <v>-9</v>
      </c>
      <c r="D200">
        <v>-15.6</v>
      </c>
      <c r="E200">
        <v>-6.9</v>
      </c>
      <c r="F200">
        <v>-14.3</v>
      </c>
      <c r="G200">
        <v>-8.5</v>
      </c>
      <c r="H200">
        <v>-8.1999999999999993</v>
      </c>
      <c r="I200">
        <v>-6.7</v>
      </c>
      <c r="J200">
        <v>-15.4</v>
      </c>
      <c r="K200">
        <v>-21.9</v>
      </c>
      <c r="L200">
        <v>-12.3</v>
      </c>
      <c r="M200">
        <v>-13.7</v>
      </c>
      <c r="N200">
        <v>-5.8</v>
      </c>
    </row>
    <row r="201" spans="1:14" x14ac:dyDescent="0.4">
      <c r="A201" s="5">
        <v>45960</v>
      </c>
      <c r="B201">
        <v>-4</v>
      </c>
      <c r="C201">
        <v>-5.8</v>
      </c>
      <c r="D201">
        <v>-8.6999999999999993</v>
      </c>
      <c r="E201">
        <v>-5.2</v>
      </c>
      <c r="F201">
        <v>-16.8</v>
      </c>
      <c r="G201">
        <v>-10.3</v>
      </c>
      <c r="H201">
        <v>-12.1</v>
      </c>
      <c r="I201">
        <v>-4.7</v>
      </c>
      <c r="J201">
        <v>-8.9</v>
      </c>
      <c r="K201">
        <v>-18.100000000000001</v>
      </c>
      <c r="L201">
        <v>-10.1</v>
      </c>
      <c r="M201">
        <v>-12.3</v>
      </c>
      <c r="N201">
        <v>-6.3</v>
      </c>
    </row>
    <row r="202" spans="1:14" x14ac:dyDescent="0.4">
      <c r="A202" s="5">
        <v>45961</v>
      </c>
      <c r="B202">
        <v>-8.6</v>
      </c>
      <c r="C202">
        <v>-8.5</v>
      </c>
      <c r="D202">
        <v>-14.3</v>
      </c>
      <c r="E202">
        <v>-10.3</v>
      </c>
      <c r="F202">
        <v>-18.100000000000001</v>
      </c>
      <c r="G202">
        <v>-5.2</v>
      </c>
      <c r="H202">
        <v>-5.9</v>
      </c>
      <c r="I202">
        <v>-5.4</v>
      </c>
      <c r="J202">
        <v>-15.2</v>
      </c>
      <c r="K202">
        <v>-20.5</v>
      </c>
      <c r="L202">
        <v>-12.3</v>
      </c>
      <c r="M202">
        <v>-6.5</v>
      </c>
      <c r="N202">
        <v>-7.9</v>
      </c>
    </row>
    <row r="203" spans="1:14" x14ac:dyDescent="0.4">
      <c r="A203" s="5">
        <v>45962</v>
      </c>
      <c r="B203">
        <v>-9.1999999999999993</v>
      </c>
      <c r="C203">
        <v>-9</v>
      </c>
      <c r="D203">
        <v>-12.3</v>
      </c>
      <c r="E203">
        <v>-11.9</v>
      </c>
      <c r="F203">
        <v>-16.600000000000001</v>
      </c>
      <c r="G203">
        <v>-6.6</v>
      </c>
      <c r="H203">
        <v>-1.3</v>
      </c>
      <c r="I203">
        <v>-5.8</v>
      </c>
      <c r="J203">
        <v>-15.5</v>
      </c>
      <c r="K203">
        <v>-20.100000000000001</v>
      </c>
      <c r="L203">
        <v>-11.5</v>
      </c>
      <c r="M203">
        <v>-8.3000000000000007</v>
      </c>
      <c r="N203">
        <v>-5.5</v>
      </c>
    </row>
    <row r="204" spans="1:14" x14ac:dyDescent="0.4">
      <c r="A204" s="5">
        <v>45963</v>
      </c>
      <c r="B204">
        <v>-6.4</v>
      </c>
      <c r="C204">
        <v>-8.3000000000000007</v>
      </c>
      <c r="D204">
        <v>-11.5</v>
      </c>
      <c r="E204">
        <v>-13.4</v>
      </c>
      <c r="F204">
        <v>-17.7</v>
      </c>
      <c r="G204">
        <v>-2</v>
      </c>
      <c r="H204">
        <v>-7</v>
      </c>
      <c r="I204">
        <v>-4</v>
      </c>
      <c r="J204">
        <v>-15.7</v>
      </c>
      <c r="K204">
        <v>-19.399999999999999</v>
      </c>
      <c r="L204">
        <v>-13.2</v>
      </c>
      <c r="M204">
        <v>-14.7</v>
      </c>
      <c r="N204">
        <v>-4.7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94" workbookViewId="0">
      <selection activeCell="G211" sqref="G21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1" t="s">
        <v>105</v>
      </c>
      <c r="B1" s="1" t="s">
        <v>108</v>
      </c>
      <c r="C1" s="1" t="s">
        <v>33</v>
      </c>
      <c r="D1" s="1" t="s">
        <v>109</v>
      </c>
      <c r="E1" s="1" t="s">
        <v>125</v>
      </c>
      <c r="F1" s="1" t="s">
        <v>4</v>
      </c>
      <c r="G1" s="1" t="s">
        <v>34</v>
      </c>
      <c r="H1" s="1" t="s">
        <v>3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9</v>
      </c>
      <c r="N1" s="1" t="s">
        <v>102</v>
      </c>
    </row>
    <row r="2" spans="1:14" x14ac:dyDescent="0.4">
      <c r="A2" s="5">
        <v>45761</v>
      </c>
      <c r="B2">
        <v>21.1</v>
      </c>
      <c r="C2">
        <v>20.2</v>
      </c>
      <c r="D2">
        <v>23.6</v>
      </c>
      <c r="E2" t="s">
        <v>114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5">
        <v>45762</v>
      </c>
      <c r="B3">
        <v>17.899999999999999</v>
      </c>
      <c r="C3">
        <v>18</v>
      </c>
      <c r="D3">
        <v>19</v>
      </c>
      <c r="E3" t="s">
        <v>114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5">
        <v>45763</v>
      </c>
      <c r="B4">
        <v>15</v>
      </c>
      <c r="C4">
        <v>13.8</v>
      </c>
      <c r="D4">
        <v>11.5</v>
      </c>
      <c r="E4" t="s">
        <v>114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5">
        <v>45764</v>
      </c>
      <c r="B5">
        <v>16.3</v>
      </c>
      <c r="C5">
        <v>15.2</v>
      </c>
      <c r="D5">
        <v>13</v>
      </c>
      <c r="E5" t="s">
        <v>114</v>
      </c>
      <c r="F5">
        <v>5.0999999999999996</v>
      </c>
      <c r="G5" t="s">
        <v>114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5">
        <v>45765</v>
      </c>
      <c r="B6">
        <v>18.5</v>
      </c>
      <c r="C6">
        <v>18.5</v>
      </c>
      <c r="D6">
        <v>15.4</v>
      </c>
      <c r="E6" t="s">
        <v>114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5">
        <v>45766</v>
      </c>
      <c r="B7">
        <v>10.5</v>
      </c>
      <c r="C7">
        <v>16.100000000000001</v>
      </c>
      <c r="D7">
        <v>13.7</v>
      </c>
      <c r="E7" t="s">
        <v>114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5">
        <v>45767</v>
      </c>
      <c r="B8">
        <v>5.8</v>
      </c>
      <c r="C8">
        <v>4.0999999999999996</v>
      </c>
      <c r="D8">
        <v>3.4</v>
      </c>
      <c r="E8" t="s">
        <v>114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5">
        <v>45768</v>
      </c>
      <c r="B9">
        <v>16</v>
      </c>
      <c r="C9">
        <v>18.5</v>
      </c>
      <c r="D9">
        <v>17.600000000000001</v>
      </c>
      <c r="E9" t="s">
        <v>114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5">
        <v>45769</v>
      </c>
      <c r="B10">
        <v>14</v>
      </c>
      <c r="C10">
        <v>14.4</v>
      </c>
      <c r="D10">
        <v>16</v>
      </c>
      <c r="E10" t="s">
        <v>114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5">
        <v>45770</v>
      </c>
      <c r="B11">
        <v>16.3</v>
      </c>
      <c r="C11">
        <v>14.5</v>
      </c>
      <c r="D11">
        <v>14.1</v>
      </c>
      <c r="E11" t="s">
        <v>114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5">
        <v>45771</v>
      </c>
      <c r="B12">
        <v>20.7</v>
      </c>
      <c r="C12">
        <v>19.100000000000001</v>
      </c>
      <c r="D12">
        <v>17.7</v>
      </c>
      <c r="E12" t="s">
        <v>114</v>
      </c>
      <c r="F12">
        <v>13.3</v>
      </c>
      <c r="G12" t="s">
        <v>112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5">
        <v>45772</v>
      </c>
      <c r="B13">
        <v>12.6</v>
      </c>
      <c r="C13">
        <v>13.7</v>
      </c>
      <c r="D13">
        <v>15.2</v>
      </c>
      <c r="E13" t="s">
        <v>114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5">
        <v>45773</v>
      </c>
      <c r="B14">
        <v>17.399999999999999</v>
      </c>
      <c r="C14">
        <v>17.399999999999999</v>
      </c>
      <c r="D14">
        <v>15</v>
      </c>
      <c r="E14" t="s">
        <v>114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5">
        <v>45774</v>
      </c>
      <c r="B15">
        <v>21.8</v>
      </c>
      <c r="C15">
        <v>22</v>
      </c>
      <c r="D15">
        <v>20.9</v>
      </c>
      <c r="E15" t="s">
        <v>114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5">
        <v>45775</v>
      </c>
      <c r="B16">
        <v>22.9</v>
      </c>
      <c r="C16">
        <v>21.9</v>
      </c>
      <c r="D16">
        <v>21.6</v>
      </c>
      <c r="E16" t="s">
        <v>114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5">
        <v>45776</v>
      </c>
      <c r="B17">
        <v>23.1</v>
      </c>
      <c r="C17">
        <v>21.4</v>
      </c>
      <c r="D17">
        <v>18.2</v>
      </c>
      <c r="E17" t="s">
        <v>114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5">
        <v>45777</v>
      </c>
      <c r="B18">
        <v>21.7</v>
      </c>
      <c r="C18">
        <v>19.8</v>
      </c>
      <c r="D18">
        <v>15.6</v>
      </c>
      <c r="E18" t="s">
        <v>114</v>
      </c>
      <c r="F18">
        <v>14.2</v>
      </c>
      <c r="G18" t="s">
        <v>112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5">
        <v>45778</v>
      </c>
      <c r="B19">
        <v>18</v>
      </c>
      <c r="C19">
        <v>14.1</v>
      </c>
      <c r="D19">
        <v>11.5</v>
      </c>
      <c r="E19" t="s">
        <v>114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5">
        <v>45779</v>
      </c>
      <c r="B20">
        <v>18</v>
      </c>
      <c r="C20">
        <v>17.2</v>
      </c>
      <c r="D20">
        <v>17.7</v>
      </c>
      <c r="E20" t="s">
        <v>114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5">
        <v>45780</v>
      </c>
      <c r="B21">
        <v>16.5</v>
      </c>
      <c r="C21">
        <v>14.9</v>
      </c>
      <c r="D21">
        <v>15.7</v>
      </c>
      <c r="E21" t="s">
        <v>114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5">
        <v>45781</v>
      </c>
      <c r="B22">
        <v>12.2</v>
      </c>
      <c r="C22">
        <v>9.4</v>
      </c>
      <c r="D22">
        <v>7.4</v>
      </c>
      <c r="E22" t="s">
        <v>114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5">
        <v>45782</v>
      </c>
      <c r="B23">
        <v>15.8</v>
      </c>
      <c r="C23">
        <v>15.7</v>
      </c>
      <c r="D23">
        <v>12.7</v>
      </c>
      <c r="E23" t="s">
        <v>114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5">
        <v>45783</v>
      </c>
      <c r="B24">
        <v>15.7</v>
      </c>
      <c r="C24">
        <v>15.1</v>
      </c>
      <c r="D24">
        <v>11.5</v>
      </c>
      <c r="E24" t="s">
        <v>114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5">
        <v>45784</v>
      </c>
      <c r="B25">
        <v>16.5</v>
      </c>
      <c r="C25">
        <v>13.8</v>
      </c>
      <c r="D25">
        <v>12.1</v>
      </c>
      <c r="E25" t="s">
        <v>114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5">
        <v>45785</v>
      </c>
      <c r="B26">
        <v>20.100000000000001</v>
      </c>
      <c r="C26">
        <v>19.5</v>
      </c>
      <c r="D26">
        <v>16.600000000000001</v>
      </c>
      <c r="E26" t="s">
        <v>114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5">
        <v>45786</v>
      </c>
      <c r="B27">
        <v>24.2</v>
      </c>
      <c r="C27">
        <v>24.6</v>
      </c>
      <c r="D27">
        <v>22.4</v>
      </c>
      <c r="E27" t="s">
        <v>114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5">
        <v>45787</v>
      </c>
      <c r="B28">
        <v>27.3</v>
      </c>
      <c r="C28">
        <v>27.1</v>
      </c>
      <c r="D28">
        <v>28.1</v>
      </c>
      <c r="E28" t="s">
        <v>114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5">
        <v>45788</v>
      </c>
      <c r="B29">
        <v>26.5</v>
      </c>
      <c r="C29">
        <v>25.2</v>
      </c>
      <c r="D29">
        <v>24</v>
      </c>
      <c r="E29" t="s">
        <v>114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5">
        <v>45789</v>
      </c>
      <c r="B30">
        <v>21.9</v>
      </c>
      <c r="C30">
        <v>22.5</v>
      </c>
      <c r="D30">
        <v>19.2</v>
      </c>
      <c r="E30" t="s">
        <v>114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5">
        <v>45790</v>
      </c>
      <c r="B31">
        <v>17.600000000000001</v>
      </c>
      <c r="C31">
        <v>17.7</v>
      </c>
      <c r="D31">
        <v>14.2</v>
      </c>
      <c r="E31" t="s">
        <v>114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5">
        <v>45791</v>
      </c>
      <c r="B32">
        <v>23</v>
      </c>
      <c r="C32">
        <v>20.100000000000001</v>
      </c>
      <c r="D32">
        <v>16.8</v>
      </c>
      <c r="E32" t="s">
        <v>114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5">
        <v>45792</v>
      </c>
      <c r="B33">
        <v>17.5</v>
      </c>
      <c r="C33">
        <v>16.3</v>
      </c>
      <c r="D33">
        <v>14.5</v>
      </c>
      <c r="E33" t="s">
        <v>114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5">
        <v>45793</v>
      </c>
      <c r="B34">
        <v>14.1</v>
      </c>
      <c r="C34">
        <v>12.8</v>
      </c>
      <c r="D34">
        <v>9.1999999999999993</v>
      </c>
      <c r="E34" t="s">
        <v>114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5">
        <v>45794</v>
      </c>
      <c r="B35">
        <v>15.9</v>
      </c>
      <c r="C35">
        <v>18.2</v>
      </c>
      <c r="D35">
        <v>15.9</v>
      </c>
      <c r="E35" t="s">
        <v>114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5">
        <v>45795</v>
      </c>
      <c r="B36">
        <v>27.6</v>
      </c>
      <c r="C36">
        <v>28</v>
      </c>
      <c r="D36">
        <v>26.8</v>
      </c>
      <c r="E36" t="s">
        <v>114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5">
        <v>45796</v>
      </c>
      <c r="B37">
        <v>26.8</v>
      </c>
      <c r="C37">
        <v>27.1</v>
      </c>
      <c r="D37">
        <v>25.7</v>
      </c>
      <c r="E37" t="s">
        <v>114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5">
        <v>45797</v>
      </c>
      <c r="B38">
        <v>20.6</v>
      </c>
      <c r="C38">
        <v>18.100000000000001</v>
      </c>
      <c r="D38">
        <v>17.899999999999999</v>
      </c>
      <c r="E38" t="s">
        <v>114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5">
        <v>45798</v>
      </c>
      <c r="B39">
        <v>23.6</v>
      </c>
      <c r="C39">
        <v>22.4</v>
      </c>
      <c r="D39">
        <v>20.9</v>
      </c>
      <c r="E39" t="s">
        <v>114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5">
        <v>45799</v>
      </c>
      <c r="B40">
        <v>25.1</v>
      </c>
      <c r="C40">
        <v>23.5</v>
      </c>
      <c r="D40">
        <v>20.399999999999999</v>
      </c>
      <c r="E40" t="s">
        <v>114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5">
        <v>45800</v>
      </c>
      <c r="B41">
        <v>26</v>
      </c>
      <c r="C41">
        <v>25.3</v>
      </c>
      <c r="D41">
        <v>22.2</v>
      </c>
      <c r="E41" t="s">
        <v>114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5">
        <v>45801</v>
      </c>
      <c r="B42">
        <v>30</v>
      </c>
      <c r="C42">
        <v>28.8</v>
      </c>
      <c r="D42">
        <v>26.2</v>
      </c>
      <c r="E42" t="s">
        <v>114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5">
        <v>45802</v>
      </c>
      <c r="B43">
        <v>26.8</v>
      </c>
      <c r="C43">
        <v>25.8</v>
      </c>
      <c r="D43">
        <v>23</v>
      </c>
      <c r="E43" t="s">
        <v>114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5">
        <v>45803</v>
      </c>
      <c r="B44">
        <v>26.7</v>
      </c>
      <c r="C44">
        <v>26.3</v>
      </c>
      <c r="D44">
        <v>24.9</v>
      </c>
      <c r="E44" t="s">
        <v>114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5">
        <v>45804</v>
      </c>
      <c r="B45">
        <v>24.2</v>
      </c>
      <c r="C45">
        <v>22.4</v>
      </c>
      <c r="D45">
        <v>23.1</v>
      </c>
      <c r="E45" t="s">
        <v>114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5">
        <v>45805</v>
      </c>
      <c r="B46">
        <v>11.6</v>
      </c>
      <c r="C46">
        <v>15.7</v>
      </c>
      <c r="D46">
        <v>15</v>
      </c>
      <c r="E46" t="s">
        <v>114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5">
        <v>45806</v>
      </c>
      <c r="B47">
        <v>10.199999999999999</v>
      </c>
      <c r="C47">
        <v>15</v>
      </c>
      <c r="D47">
        <v>12.3</v>
      </c>
      <c r="E47" t="s">
        <v>114</v>
      </c>
      <c r="F47">
        <v>13.6</v>
      </c>
      <c r="G47" t="s">
        <v>112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5">
        <v>45807</v>
      </c>
      <c r="B48">
        <v>14.3</v>
      </c>
      <c r="C48" t="s">
        <v>112</v>
      </c>
      <c r="D48" t="s">
        <v>112</v>
      </c>
      <c r="E48" t="s">
        <v>114</v>
      </c>
      <c r="F48">
        <v>11.3</v>
      </c>
      <c r="G48" t="s">
        <v>112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5">
        <v>45808</v>
      </c>
      <c r="B49">
        <v>18.899999999999999</v>
      </c>
      <c r="C49">
        <v>18</v>
      </c>
      <c r="D49">
        <v>17</v>
      </c>
      <c r="E49" t="s">
        <v>114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5">
        <v>45809</v>
      </c>
      <c r="B50">
        <v>21.7</v>
      </c>
      <c r="C50">
        <v>20.2</v>
      </c>
      <c r="D50">
        <v>15.2</v>
      </c>
      <c r="E50" t="s">
        <v>114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5">
        <v>45810</v>
      </c>
      <c r="B51">
        <v>26.9</v>
      </c>
      <c r="C51">
        <v>26.4</v>
      </c>
      <c r="D51">
        <v>23.1</v>
      </c>
      <c r="E51" t="s">
        <v>114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5">
        <v>45811</v>
      </c>
      <c r="B52">
        <v>29.5</v>
      </c>
      <c r="C52">
        <v>29.1</v>
      </c>
      <c r="D52">
        <v>27.4</v>
      </c>
      <c r="E52" t="s">
        <v>114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5">
        <v>45812</v>
      </c>
      <c r="B53">
        <v>27</v>
      </c>
      <c r="C53" t="s">
        <v>112</v>
      </c>
      <c r="D53" t="s">
        <v>112</v>
      </c>
      <c r="E53" t="s">
        <v>114</v>
      </c>
      <c r="F53">
        <v>22.6</v>
      </c>
      <c r="G53" t="s">
        <v>112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5">
        <v>45813</v>
      </c>
      <c r="B54">
        <v>28.1</v>
      </c>
      <c r="C54">
        <v>26</v>
      </c>
      <c r="D54">
        <v>23.2</v>
      </c>
      <c r="E54" t="s">
        <v>114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5">
        <v>45814</v>
      </c>
      <c r="B55">
        <v>29</v>
      </c>
      <c r="C55">
        <v>28.3</v>
      </c>
      <c r="D55">
        <v>24.2</v>
      </c>
      <c r="E55" t="s">
        <v>114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5">
        <v>45815</v>
      </c>
      <c r="B56">
        <v>28.3</v>
      </c>
      <c r="C56">
        <v>28.2</v>
      </c>
      <c r="D56">
        <v>26.2</v>
      </c>
      <c r="E56" t="s">
        <v>114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5">
        <v>45816</v>
      </c>
      <c r="B57">
        <v>29.2</v>
      </c>
      <c r="C57">
        <v>28.6</v>
      </c>
      <c r="D57">
        <v>26.4</v>
      </c>
      <c r="E57" t="s">
        <v>114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5">
        <v>45817</v>
      </c>
      <c r="B58">
        <v>28.4</v>
      </c>
      <c r="C58">
        <v>28.1</v>
      </c>
      <c r="D58">
        <v>27.5</v>
      </c>
      <c r="E58" t="s">
        <v>114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5">
        <v>45818</v>
      </c>
      <c r="B59">
        <v>26.1</v>
      </c>
      <c r="C59">
        <v>24.3</v>
      </c>
      <c r="D59">
        <v>23.9</v>
      </c>
      <c r="E59" t="s">
        <v>114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5">
        <v>45819</v>
      </c>
      <c r="B60">
        <v>23.2</v>
      </c>
      <c r="C60" t="s">
        <v>112</v>
      </c>
      <c r="D60" t="s">
        <v>112</v>
      </c>
      <c r="E60" t="s">
        <v>114</v>
      </c>
      <c r="F60">
        <v>14.3</v>
      </c>
      <c r="G60" t="s">
        <v>112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5">
        <v>45820</v>
      </c>
      <c r="B61">
        <v>24.3</v>
      </c>
      <c r="C61">
        <v>22.6</v>
      </c>
      <c r="D61">
        <v>20.399999999999999</v>
      </c>
      <c r="E61" t="s">
        <v>114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5">
        <v>45821</v>
      </c>
      <c r="B62">
        <v>27.7</v>
      </c>
      <c r="C62">
        <v>24.8</v>
      </c>
      <c r="D62">
        <v>22.8</v>
      </c>
      <c r="E62" t="s">
        <v>114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5">
        <v>45822</v>
      </c>
      <c r="B63">
        <v>29.9</v>
      </c>
      <c r="C63">
        <v>29.8</v>
      </c>
      <c r="D63">
        <v>27</v>
      </c>
      <c r="E63" t="s">
        <v>114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5">
        <v>45823</v>
      </c>
      <c r="B64">
        <v>31.7</v>
      </c>
      <c r="C64">
        <v>29.9</v>
      </c>
      <c r="D64">
        <v>29.5</v>
      </c>
      <c r="E64" t="s">
        <v>114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5">
        <v>45824</v>
      </c>
      <c r="B65">
        <v>28.9</v>
      </c>
      <c r="C65">
        <v>28.4</v>
      </c>
      <c r="D65">
        <v>27</v>
      </c>
      <c r="E65" t="s">
        <v>114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5">
        <v>45825</v>
      </c>
      <c r="B66">
        <v>28.3</v>
      </c>
      <c r="C66">
        <v>26.3</v>
      </c>
      <c r="D66">
        <v>24.6</v>
      </c>
      <c r="E66" t="s">
        <v>114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5">
        <v>45826</v>
      </c>
      <c r="B67">
        <v>30</v>
      </c>
      <c r="C67" t="s">
        <v>112</v>
      </c>
      <c r="D67" t="s">
        <v>112</v>
      </c>
      <c r="E67" t="s">
        <v>114</v>
      </c>
      <c r="F67">
        <v>19.7</v>
      </c>
      <c r="G67" t="s">
        <v>112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5">
        <v>45827</v>
      </c>
      <c r="B68">
        <v>34.299999999999997</v>
      </c>
      <c r="C68">
        <v>33.700000000000003</v>
      </c>
      <c r="D68">
        <v>31.4</v>
      </c>
      <c r="E68" t="s">
        <v>114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5">
        <v>45828</v>
      </c>
      <c r="B69">
        <v>36</v>
      </c>
      <c r="C69">
        <v>34.6</v>
      </c>
      <c r="D69">
        <v>32.1</v>
      </c>
      <c r="E69" t="s">
        <v>114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5">
        <v>45829</v>
      </c>
      <c r="B70">
        <v>38.5</v>
      </c>
      <c r="C70">
        <v>36.4</v>
      </c>
      <c r="D70">
        <v>35.1</v>
      </c>
      <c r="E70" t="s">
        <v>114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5">
        <v>45830</v>
      </c>
      <c r="B71">
        <v>33.200000000000003</v>
      </c>
      <c r="C71">
        <v>34.6</v>
      </c>
      <c r="D71">
        <v>31.1</v>
      </c>
      <c r="E71" t="s">
        <v>114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5">
        <v>45831</v>
      </c>
      <c r="B72">
        <v>33.799999999999997</v>
      </c>
      <c r="C72">
        <v>32.799999999999997</v>
      </c>
      <c r="D72">
        <v>32.200000000000003</v>
      </c>
      <c r="E72" t="s">
        <v>114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5">
        <v>45832</v>
      </c>
      <c r="B73">
        <v>32.799999999999997</v>
      </c>
      <c r="C73">
        <v>32.4</v>
      </c>
      <c r="D73">
        <v>34.6</v>
      </c>
      <c r="E73" t="s">
        <v>114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5">
        <v>45833</v>
      </c>
      <c r="B74">
        <v>30.2</v>
      </c>
      <c r="C74">
        <v>28.8</v>
      </c>
      <c r="D74">
        <v>29.3</v>
      </c>
      <c r="E74" t="s">
        <v>114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5">
        <v>45834</v>
      </c>
      <c r="B75">
        <v>30.8</v>
      </c>
      <c r="C75">
        <v>30.1</v>
      </c>
      <c r="D75">
        <v>29</v>
      </c>
      <c r="E75" t="s">
        <v>114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5">
        <v>45835</v>
      </c>
      <c r="B76">
        <v>29.3</v>
      </c>
      <c r="C76">
        <v>28.7</v>
      </c>
      <c r="D76">
        <v>27.7</v>
      </c>
      <c r="E76" t="s">
        <v>114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5">
        <v>45836</v>
      </c>
      <c r="B77">
        <v>28.6</v>
      </c>
      <c r="C77">
        <v>28.3</v>
      </c>
      <c r="D77">
        <v>26.5</v>
      </c>
      <c r="E77" t="s">
        <v>114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5">
        <v>45837</v>
      </c>
      <c r="B78">
        <v>25.6</v>
      </c>
      <c r="C78">
        <v>25.9</v>
      </c>
      <c r="D78">
        <v>21.1</v>
      </c>
      <c r="E78" t="s">
        <v>114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5">
        <v>45838</v>
      </c>
      <c r="B79">
        <v>28</v>
      </c>
      <c r="C79">
        <v>27.9</v>
      </c>
      <c r="D79">
        <v>22.6</v>
      </c>
      <c r="E79" t="s">
        <v>114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5">
        <v>45839</v>
      </c>
      <c r="B80">
        <v>28</v>
      </c>
      <c r="C80">
        <v>27.6</v>
      </c>
      <c r="D80">
        <v>27.7</v>
      </c>
      <c r="E80" t="s">
        <v>114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5">
        <v>45840</v>
      </c>
      <c r="B81">
        <v>27.2</v>
      </c>
      <c r="C81">
        <v>26.2</v>
      </c>
      <c r="D81">
        <v>24.2</v>
      </c>
      <c r="E81" t="s">
        <v>114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5">
        <v>45841</v>
      </c>
      <c r="B82">
        <v>25.3</v>
      </c>
      <c r="C82">
        <v>24.8</v>
      </c>
      <c r="D82">
        <v>22.8</v>
      </c>
      <c r="E82" t="s">
        <v>114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5">
        <v>45842</v>
      </c>
      <c r="B83">
        <v>29.8</v>
      </c>
      <c r="C83">
        <v>27</v>
      </c>
      <c r="D83">
        <v>24.8</v>
      </c>
      <c r="E83" t="s">
        <v>114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5">
        <v>45843</v>
      </c>
      <c r="B84">
        <v>32.299999999999997</v>
      </c>
      <c r="C84">
        <v>31.4</v>
      </c>
      <c r="D84">
        <v>29.9</v>
      </c>
      <c r="E84" t="s">
        <v>114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5">
        <v>45844</v>
      </c>
      <c r="B85">
        <v>35</v>
      </c>
      <c r="C85">
        <v>33.700000000000003</v>
      </c>
      <c r="D85">
        <v>31.4</v>
      </c>
      <c r="E85" t="s">
        <v>114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5">
        <v>45845</v>
      </c>
      <c r="B86">
        <v>28.9</v>
      </c>
      <c r="C86">
        <v>27.1</v>
      </c>
      <c r="D86">
        <v>25.4</v>
      </c>
      <c r="E86" t="s">
        <v>114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5">
        <v>45846</v>
      </c>
      <c r="B87">
        <v>25.4</v>
      </c>
      <c r="C87">
        <v>25.2</v>
      </c>
      <c r="D87">
        <v>23.7</v>
      </c>
      <c r="E87" t="s">
        <v>114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5">
        <v>45847</v>
      </c>
      <c r="B88">
        <v>26.7</v>
      </c>
      <c r="C88">
        <v>26.4</v>
      </c>
      <c r="D88">
        <v>25.4</v>
      </c>
      <c r="E88" t="s">
        <v>114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5">
        <v>45848</v>
      </c>
      <c r="B89">
        <v>28.4</v>
      </c>
      <c r="C89">
        <v>27</v>
      </c>
      <c r="D89">
        <v>23.8</v>
      </c>
      <c r="E89" t="s">
        <v>114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5">
        <v>45849</v>
      </c>
      <c r="B90">
        <v>32.1</v>
      </c>
      <c r="C90">
        <v>32.200000000000003</v>
      </c>
      <c r="D90">
        <v>30.4</v>
      </c>
      <c r="E90" t="s">
        <v>114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5">
        <v>45850</v>
      </c>
      <c r="B91">
        <v>31.9</v>
      </c>
      <c r="C91">
        <v>35.4</v>
      </c>
      <c r="D91">
        <v>29.6</v>
      </c>
      <c r="E91" t="s">
        <v>114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5">
        <v>45851</v>
      </c>
      <c r="B92">
        <v>31</v>
      </c>
      <c r="C92">
        <v>30.5</v>
      </c>
      <c r="D92">
        <v>29.2</v>
      </c>
      <c r="E92" t="s">
        <v>114</v>
      </c>
      <c r="F92">
        <v>24.7</v>
      </c>
      <c r="G92" t="s">
        <v>112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5">
        <v>45852</v>
      </c>
      <c r="B93">
        <v>32.9</v>
      </c>
      <c r="C93">
        <v>32.6</v>
      </c>
      <c r="D93">
        <v>30.6</v>
      </c>
      <c r="E93" t="s">
        <v>114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5">
        <v>45853</v>
      </c>
      <c r="B94">
        <v>32.4</v>
      </c>
      <c r="C94">
        <v>32.200000000000003</v>
      </c>
      <c r="D94">
        <v>30.3</v>
      </c>
      <c r="E94" t="s">
        <v>114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5">
        <v>45854</v>
      </c>
      <c r="B95">
        <v>32.299999999999997</v>
      </c>
      <c r="C95" t="s">
        <v>112</v>
      </c>
      <c r="D95" t="s">
        <v>112</v>
      </c>
      <c r="E95" t="s">
        <v>114</v>
      </c>
      <c r="F95">
        <v>26.7</v>
      </c>
      <c r="G95" t="s">
        <v>112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5">
        <v>45855</v>
      </c>
      <c r="B96">
        <v>30.7</v>
      </c>
      <c r="C96" t="s">
        <v>112</v>
      </c>
      <c r="D96" t="s">
        <v>112</v>
      </c>
      <c r="E96" t="s">
        <v>114</v>
      </c>
      <c r="F96">
        <v>24.8</v>
      </c>
      <c r="G96" t="s">
        <v>112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5">
        <v>45856</v>
      </c>
      <c r="B97">
        <v>30.5</v>
      </c>
      <c r="C97" t="s">
        <v>112</v>
      </c>
      <c r="D97" t="s">
        <v>112</v>
      </c>
      <c r="E97" t="s">
        <v>114</v>
      </c>
      <c r="F97">
        <v>21.7</v>
      </c>
      <c r="G97" t="s">
        <v>112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5">
        <v>45857</v>
      </c>
      <c r="B98">
        <v>33.6</v>
      </c>
      <c r="C98" t="s">
        <v>112</v>
      </c>
      <c r="D98" t="s">
        <v>112</v>
      </c>
      <c r="E98" t="s">
        <v>114</v>
      </c>
      <c r="F98">
        <v>24.1</v>
      </c>
      <c r="G98" t="s">
        <v>112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5">
        <v>45858</v>
      </c>
      <c r="B99">
        <v>32.6</v>
      </c>
      <c r="C99">
        <v>34.700000000000003</v>
      </c>
      <c r="D99">
        <v>33.299999999999997</v>
      </c>
      <c r="E99" t="s">
        <v>114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5">
        <v>45859</v>
      </c>
      <c r="B100">
        <v>28.2</v>
      </c>
      <c r="C100">
        <v>27.4</v>
      </c>
      <c r="D100">
        <v>26.3</v>
      </c>
      <c r="E100" t="s">
        <v>114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5">
        <v>45860</v>
      </c>
      <c r="B101">
        <v>27.4</v>
      </c>
      <c r="C101">
        <v>26.8</v>
      </c>
      <c r="D101">
        <v>25.5</v>
      </c>
      <c r="E101" t="s">
        <v>114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5">
        <v>45861</v>
      </c>
      <c r="B102">
        <v>21</v>
      </c>
      <c r="C102">
        <v>22.1</v>
      </c>
      <c r="D102">
        <v>22.1</v>
      </c>
      <c r="E102" t="s">
        <v>114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5">
        <v>45862</v>
      </c>
      <c r="B103">
        <v>23</v>
      </c>
      <c r="C103">
        <v>20.7</v>
      </c>
      <c r="D103">
        <v>19.7</v>
      </c>
      <c r="E103" t="s">
        <v>114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5">
        <v>45863</v>
      </c>
      <c r="B104">
        <v>26.8</v>
      </c>
      <c r="C104">
        <v>27.5</v>
      </c>
      <c r="D104">
        <v>27.4</v>
      </c>
      <c r="E104" t="s">
        <v>114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5">
        <v>45864</v>
      </c>
      <c r="B105">
        <v>30.4</v>
      </c>
      <c r="C105">
        <v>30.4</v>
      </c>
      <c r="D105">
        <v>27.5</v>
      </c>
      <c r="E105" t="s">
        <v>114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5">
        <v>45865</v>
      </c>
      <c r="B106">
        <v>33.799999999999997</v>
      </c>
      <c r="C106">
        <v>33.9</v>
      </c>
      <c r="D106">
        <v>32.4</v>
      </c>
      <c r="E106" t="s">
        <v>114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5">
        <v>45866</v>
      </c>
      <c r="B107">
        <v>35.200000000000003</v>
      </c>
      <c r="C107">
        <v>35</v>
      </c>
      <c r="D107">
        <v>32.200000000000003</v>
      </c>
      <c r="E107" t="s">
        <v>114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5">
        <v>45867</v>
      </c>
      <c r="B108">
        <v>35.200000000000003</v>
      </c>
      <c r="C108">
        <v>33.700000000000003</v>
      </c>
      <c r="D108">
        <v>31.3</v>
      </c>
      <c r="E108" t="s">
        <v>114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5">
        <v>45868</v>
      </c>
      <c r="B109">
        <v>31.2</v>
      </c>
      <c r="C109">
        <v>33.4</v>
      </c>
      <c r="D109">
        <v>29.1</v>
      </c>
      <c r="E109" t="s">
        <v>114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5">
        <v>45869</v>
      </c>
      <c r="B110">
        <v>29.5</v>
      </c>
      <c r="C110">
        <v>30.4</v>
      </c>
      <c r="D110">
        <v>28.6</v>
      </c>
      <c r="E110" t="s">
        <v>114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5">
        <v>45870</v>
      </c>
      <c r="B111">
        <v>30</v>
      </c>
      <c r="C111">
        <v>31.5</v>
      </c>
      <c r="D111">
        <v>30</v>
      </c>
      <c r="E111" t="s">
        <v>114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5">
        <v>45871</v>
      </c>
      <c r="B112">
        <v>30.9</v>
      </c>
      <c r="C112">
        <v>29.9</v>
      </c>
      <c r="D112">
        <v>28.6</v>
      </c>
      <c r="E112" t="s">
        <v>114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5">
        <v>45872</v>
      </c>
      <c r="B113">
        <v>31.6</v>
      </c>
      <c r="C113">
        <v>31.2</v>
      </c>
      <c r="D113">
        <v>28.4</v>
      </c>
      <c r="E113" t="s">
        <v>114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5">
        <v>45873</v>
      </c>
      <c r="B114">
        <v>27.8</v>
      </c>
      <c r="C114">
        <v>27.3</v>
      </c>
      <c r="D114">
        <v>27.4</v>
      </c>
      <c r="E114" t="s">
        <v>114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5">
        <v>45874</v>
      </c>
      <c r="B115">
        <v>27.7</v>
      </c>
      <c r="C115">
        <v>28.4</v>
      </c>
      <c r="D115">
        <v>27.9</v>
      </c>
      <c r="E115" t="s">
        <v>114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5">
        <v>45875</v>
      </c>
      <c r="B116">
        <v>26.8</v>
      </c>
      <c r="C116">
        <v>27.2</v>
      </c>
      <c r="D116">
        <v>26.6</v>
      </c>
      <c r="E116" t="s">
        <v>114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5">
        <v>45876</v>
      </c>
      <c r="B117">
        <v>27.3</v>
      </c>
      <c r="C117" t="s">
        <v>112</v>
      </c>
      <c r="D117" t="s">
        <v>112</v>
      </c>
      <c r="E117" t="s">
        <v>114</v>
      </c>
      <c r="F117">
        <v>23.6</v>
      </c>
      <c r="G117" t="s">
        <v>112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5">
        <v>45877</v>
      </c>
      <c r="B118">
        <v>29.9</v>
      </c>
      <c r="C118">
        <v>29.2</v>
      </c>
      <c r="D118">
        <v>27.1</v>
      </c>
      <c r="E118" t="s">
        <v>114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5">
        <v>45878</v>
      </c>
      <c r="B119">
        <v>29.9</v>
      </c>
      <c r="C119">
        <v>31.1</v>
      </c>
      <c r="D119">
        <v>28.4</v>
      </c>
      <c r="E119" t="s">
        <v>114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5">
        <v>45879</v>
      </c>
      <c r="B120">
        <v>24.9</v>
      </c>
      <c r="C120">
        <v>29.1</v>
      </c>
      <c r="D120">
        <v>27.6</v>
      </c>
      <c r="E120" t="s">
        <v>114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5">
        <v>45880</v>
      </c>
      <c r="B121">
        <v>22.3</v>
      </c>
      <c r="C121">
        <v>20.7</v>
      </c>
      <c r="D121">
        <v>18.399999999999999</v>
      </c>
      <c r="E121" t="s">
        <v>114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5">
        <v>45881</v>
      </c>
      <c r="B122">
        <v>25.7</v>
      </c>
      <c r="C122">
        <v>25.7</v>
      </c>
      <c r="D122">
        <v>22.9</v>
      </c>
      <c r="E122" t="s">
        <v>114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5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5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5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5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5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5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5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5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5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5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5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5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5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5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5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5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5">
        <v>45898</v>
      </c>
      <c r="B139">
        <v>21.9</v>
      </c>
      <c r="C139" t="s">
        <v>112</v>
      </c>
      <c r="D139" t="s">
        <v>112</v>
      </c>
      <c r="E139" t="s">
        <v>112</v>
      </c>
      <c r="F139">
        <v>14.4</v>
      </c>
      <c r="G139" t="s">
        <v>112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5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5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5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5">
        <v>45902</v>
      </c>
      <c r="B143">
        <v>20.6</v>
      </c>
      <c r="C143" t="s">
        <v>112</v>
      </c>
      <c r="D143" t="s">
        <v>112</v>
      </c>
      <c r="E143" t="s">
        <v>112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5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5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5">
        <v>45905</v>
      </c>
      <c r="B146">
        <v>14.9</v>
      </c>
      <c r="C146">
        <v>16</v>
      </c>
      <c r="D146">
        <v>13</v>
      </c>
      <c r="E146" t="s">
        <v>112</v>
      </c>
      <c r="F146">
        <v>8.9</v>
      </c>
      <c r="G146" t="s">
        <v>112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5">
        <v>45906</v>
      </c>
      <c r="B147">
        <v>17.899999999999999</v>
      </c>
      <c r="C147">
        <v>16.899999999999999</v>
      </c>
      <c r="D147">
        <v>13.2</v>
      </c>
      <c r="E147">
        <v>10.4</v>
      </c>
      <c r="F147">
        <v>10.5</v>
      </c>
      <c r="G147">
        <v>10.6</v>
      </c>
      <c r="H147">
        <v>17.2</v>
      </c>
      <c r="I147">
        <v>17.8</v>
      </c>
      <c r="J147">
        <v>12.1</v>
      </c>
      <c r="K147">
        <v>9.6</v>
      </c>
      <c r="L147">
        <v>12</v>
      </c>
      <c r="M147">
        <v>10.4</v>
      </c>
      <c r="N147">
        <v>12.9</v>
      </c>
    </row>
    <row r="148" spans="1:14" x14ac:dyDescent="0.4">
      <c r="A148" s="5">
        <v>45907</v>
      </c>
      <c r="B148">
        <v>18.899999999999999</v>
      </c>
      <c r="C148">
        <v>18.2</v>
      </c>
      <c r="D148">
        <v>17.100000000000001</v>
      </c>
      <c r="E148">
        <v>15.3</v>
      </c>
      <c r="F148">
        <v>16.2</v>
      </c>
      <c r="G148">
        <v>14.1</v>
      </c>
      <c r="H148">
        <v>15.9</v>
      </c>
      <c r="I148">
        <v>17.5</v>
      </c>
      <c r="J148">
        <v>15.4</v>
      </c>
      <c r="K148">
        <v>14.3</v>
      </c>
      <c r="L148">
        <v>17</v>
      </c>
      <c r="M148">
        <v>12.9</v>
      </c>
      <c r="N148">
        <v>13</v>
      </c>
    </row>
    <row r="149" spans="1:14" x14ac:dyDescent="0.4">
      <c r="A149" s="5">
        <v>45908</v>
      </c>
      <c r="B149">
        <v>21.6</v>
      </c>
      <c r="C149">
        <v>20.100000000000001</v>
      </c>
      <c r="D149">
        <v>18.7</v>
      </c>
      <c r="E149">
        <v>16.5</v>
      </c>
      <c r="F149">
        <v>17.7</v>
      </c>
      <c r="G149">
        <v>9.5</v>
      </c>
      <c r="H149">
        <v>17.399999999999999</v>
      </c>
      <c r="I149">
        <v>20</v>
      </c>
      <c r="J149">
        <v>17</v>
      </c>
      <c r="K149">
        <v>15.5</v>
      </c>
      <c r="L149">
        <v>16.7</v>
      </c>
      <c r="M149">
        <v>11.2</v>
      </c>
      <c r="N149">
        <v>15.5</v>
      </c>
    </row>
    <row r="150" spans="1:14" x14ac:dyDescent="0.4">
      <c r="A150" s="5">
        <v>45909</v>
      </c>
      <c r="B150">
        <v>21.1</v>
      </c>
      <c r="C150">
        <v>19.399999999999999</v>
      </c>
      <c r="D150">
        <v>21.2</v>
      </c>
      <c r="E150">
        <v>18.5</v>
      </c>
      <c r="F150">
        <v>19.8</v>
      </c>
      <c r="G150">
        <v>11.9</v>
      </c>
      <c r="H150">
        <v>19</v>
      </c>
      <c r="I150">
        <v>20.9</v>
      </c>
      <c r="J150">
        <v>19.899999999999999</v>
      </c>
      <c r="K150">
        <v>17.5</v>
      </c>
      <c r="L150">
        <v>19.3</v>
      </c>
      <c r="M150">
        <v>13.4</v>
      </c>
      <c r="N150">
        <v>18</v>
      </c>
    </row>
    <row r="151" spans="1:14" x14ac:dyDescent="0.4">
      <c r="A151" s="5">
        <v>45910</v>
      </c>
      <c r="B151">
        <v>20</v>
      </c>
      <c r="C151">
        <v>18.899999999999999</v>
      </c>
      <c r="D151">
        <v>16.8</v>
      </c>
      <c r="E151">
        <v>12.8</v>
      </c>
      <c r="F151">
        <v>13.7</v>
      </c>
      <c r="G151">
        <v>12</v>
      </c>
      <c r="H151">
        <v>13.7</v>
      </c>
      <c r="I151">
        <v>21.4</v>
      </c>
      <c r="J151">
        <v>15.8</v>
      </c>
      <c r="K151">
        <v>11.4</v>
      </c>
      <c r="L151">
        <v>14.9</v>
      </c>
      <c r="M151">
        <v>13.9</v>
      </c>
      <c r="N151">
        <v>19.899999999999999</v>
      </c>
    </row>
    <row r="152" spans="1:14" x14ac:dyDescent="0.4">
      <c r="A152" s="5">
        <v>45911</v>
      </c>
      <c r="B152">
        <v>19.399999999999999</v>
      </c>
      <c r="C152">
        <v>19.2</v>
      </c>
      <c r="D152">
        <v>17.8</v>
      </c>
      <c r="E152">
        <v>14.2</v>
      </c>
      <c r="F152">
        <v>16.100000000000001</v>
      </c>
      <c r="G152">
        <v>12.3</v>
      </c>
      <c r="H152">
        <v>12.8</v>
      </c>
      <c r="I152">
        <v>18.5</v>
      </c>
      <c r="J152">
        <v>16.600000000000001</v>
      </c>
      <c r="K152">
        <v>13.7</v>
      </c>
      <c r="L152">
        <v>16.2</v>
      </c>
      <c r="M152">
        <v>13.8</v>
      </c>
      <c r="N152">
        <v>18.2</v>
      </c>
    </row>
    <row r="153" spans="1:14" x14ac:dyDescent="0.4">
      <c r="A153" s="5">
        <v>45912</v>
      </c>
      <c r="B153">
        <v>16.5</v>
      </c>
      <c r="C153">
        <v>17</v>
      </c>
      <c r="D153">
        <v>14.8</v>
      </c>
      <c r="E153">
        <v>13</v>
      </c>
      <c r="F153">
        <v>13</v>
      </c>
      <c r="G153">
        <v>7.8</v>
      </c>
      <c r="H153">
        <v>14.3</v>
      </c>
      <c r="I153">
        <v>16.100000000000001</v>
      </c>
      <c r="J153">
        <v>13</v>
      </c>
      <c r="K153">
        <v>10.4</v>
      </c>
      <c r="L153">
        <v>14.7</v>
      </c>
      <c r="M153">
        <v>7.9</v>
      </c>
      <c r="N153">
        <v>16.100000000000001</v>
      </c>
    </row>
    <row r="154" spans="1:14" x14ac:dyDescent="0.4">
      <c r="A154" s="5">
        <v>45913</v>
      </c>
      <c r="B154">
        <v>18.899999999999999</v>
      </c>
      <c r="C154">
        <v>18</v>
      </c>
      <c r="D154">
        <v>15.8</v>
      </c>
      <c r="E154">
        <v>11.9</v>
      </c>
      <c r="F154">
        <v>12.9</v>
      </c>
      <c r="G154">
        <v>11.1</v>
      </c>
      <c r="H154">
        <v>16.7</v>
      </c>
      <c r="I154">
        <v>18.2</v>
      </c>
      <c r="J154">
        <v>14</v>
      </c>
      <c r="K154">
        <v>10.9</v>
      </c>
      <c r="L154">
        <v>13.2</v>
      </c>
      <c r="M154">
        <v>12.4</v>
      </c>
      <c r="N154">
        <v>13</v>
      </c>
    </row>
    <row r="155" spans="1:14" x14ac:dyDescent="0.4">
      <c r="A155" s="5">
        <v>45914</v>
      </c>
      <c r="B155">
        <v>14.9</v>
      </c>
      <c r="C155">
        <v>14.6</v>
      </c>
      <c r="D155">
        <v>13.4</v>
      </c>
      <c r="E155">
        <v>11.8</v>
      </c>
      <c r="F155">
        <v>12</v>
      </c>
      <c r="G155">
        <v>12.6</v>
      </c>
      <c r="H155">
        <v>16.899999999999999</v>
      </c>
      <c r="I155">
        <v>15</v>
      </c>
      <c r="J155">
        <v>12.7</v>
      </c>
      <c r="K155">
        <v>8.1999999999999993</v>
      </c>
      <c r="L155">
        <v>13.6</v>
      </c>
      <c r="M155">
        <v>11.7</v>
      </c>
      <c r="N155">
        <v>14.4</v>
      </c>
    </row>
    <row r="156" spans="1:14" x14ac:dyDescent="0.4">
      <c r="A156" s="5">
        <v>45915</v>
      </c>
      <c r="B156">
        <v>13.7</v>
      </c>
      <c r="C156">
        <v>11.6</v>
      </c>
      <c r="D156">
        <v>10.3</v>
      </c>
      <c r="E156">
        <v>8</v>
      </c>
      <c r="F156">
        <v>8.4</v>
      </c>
      <c r="G156">
        <v>6.9</v>
      </c>
      <c r="H156">
        <v>12.5</v>
      </c>
      <c r="I156">
        <v>12.4</v>
      </c>
      <c r="J156">
        <v>9.8000000000000007</v>
      </c>
      <c r="K156">
        <v>7</v>
      </c>
      <c r="L156">
        <v>10.5</v>
      </c>
      <c r="M156">
        <v>7</v>
      </c>
      <c r="N156">
        <v>10.8</v>
      </c>
    </row>
    <row r="157" spans="1:14" x14ac:dyDescent="0.4">
      <c r="A157" s="5">
        <v>45916</v>
      </c>
      <c r="B157">
        <v>16.3</v>
      </c>
      <c r="C157">
        <v>15.2</v>
      </c>
      <c r="D157">
        <v>10.8</v>
      </c>
      <c r="E157">
        <v>11.8</v>
      </c>
      <c r="F157">
        <v>11.3</v>
      </c>
      <c r="G157">
        <v>11.2</v>
      </c>
      <c r="H157">
        <v>16.399999999999999</v>
      </c>
      <c r="I157">
        <v>15.9</v>
      </c>
      <c r="J157">
        <v>11.9</v>
      </c>
      <c r="K157">
        <v>10.1</v>
      </c>
      <c r="L157">
        <v>12.9</v>
      </c>
      <c r="M157">
        <v>11.4</v>
      </c>
      <c r="N157">
        <v>12.3</v>
      </c>
    </row>
    <row r="158" spans="1:14" x14ac:dyDescent="0.4">
      <c r="A158" s="5">
        <v>45917</v>
      </c>
      <c r="B158">
        <v>17.8</v>
      </c>
      <c r="C158">
        <v>16.8</v>
      </c>
      <c r="D158">
        <v>16.600000000000001</v>
      </c>
      <c r="E158">
        <v>15.5</v>
      </c>
      <c r="F158">
        <v>14.3</v>
      </c>
      <c r="G158">
        <v>14.6</v>
      </c>
      <c r="H158">
        <v>19.3</v>
      </c>
      <c r="I158">
        <v>16.100000000000001</v>
      </c>
      <c r="J158">
        <v>15.5</v>
      </c>
      <c r="K158">
        <v>13.6</v>
      </c>
      <c r="L158">
        <v>16.5</v>
      </c>
      <c r="M158">
        <v>15.6</v>
      </c>
      <c r="N158">
        <v>15.1</v>
      </c>
    </row>
    <row r="159" spans="1:14" x14ac:dyDescent="0.4">
      <c r="A159" s="5">
        <v>45918</v>
      </c>
      <c r="B159">
        <v>20.9</v>
      </c>
      <c r="C159">
        <v>18.600000000000001</v>
      </c>
      <c r="D159">
        <v>18.8</v>
      </c>
      <c r="E159">
        <v>14.8</v>
      </c>
      <c r="F159">
        <v>14.6</v>
      </c>
      <c r="G159">
        <v>14.6</v>
      </c>
      <c r="H159">
        <v>18</v>
      </c>
      <c r="I159">
        <v>18.5</v>
      </c>
      <c r="J159">
        <v>16.8</v>
      </c>
      <c r="K159">
        <v>12.3</v>
      </c>
      <c r="L159">
        <v>15.1</v>
      </c>
      <c r="M159">
        <v>14.3</v>
      </c>
      <c r="N159">
        <v>18.399999999999999</v>
      </c>
    </row>
    <row r="160" spans="1:14" x14ac:dyDescent="0.4">
      <c r="A160" s="5">
        <v>45919</v>
      </c>
      <c r="B160">
        <v>21.5</v>
      </c>
      <c r="C160">
        <v>19.5</v>
      </c>
      <c r="D160">
        <v>19.2</v>
      </c>
      <c r="E160">
        <v>16.100000000000001</v>
      </c>
      <c r="F160">
        <v>17</v>
      </c>
      <c r="G160">
        <v>14.9</v>
      </c>
      <c r="H160">
        <v>18.399999999999999</v>
      </c>
      <c r="I160">
        <v>17.3</v>
      </c>
      <c r="J160">
        <v>18.399999999999999</v>
      </c>
      <c r="K160">
        <v>15.9</v>
      </c>
      <c r="L160">
        <v>17.3</v>
      </c>
      <c r="M160">
        <v>15.3</v>
      </c>
      <c r="N160">
        <v>16.600000000000001</v>
      </c>
    </row>
    <row r="161" spans="1:14" x14ac:dyDescent="0.4">
      <c r="A161" s="5">
        <v>45920</v>
      </c>
      <c r="B161">
        <v>18.8</v>
      </c>
      <c r="C161">
        <v>16.2</v>
      </c>
      <c r="D161">
        <v>18.8</v>
      </c>
      <c r="E161">
        <v>11.9</v>
      </c>
      <c r="F161">
        <v>13</v>
      </c>
      <c r="G161">
        <v>11.9</v>
      </c>
      <c r="H161">
        <v>22.9</v>
      </c>
      <c r="I161">
        <v>16.100000000000001</v>
      </c>
      <c r="J161">
        <v>16.3</v>
      </c>
      <c r="K161">
        <v>10.6</v>
      </c>
      <c r="L161">
        <v>11.5</v>
      </c>
      <c r="M161">
        <v>13.2</v>
      </c>
      <c r="N161">
        <v>18.399999999999999</v>
      </c>
    </row>
    <row r="162" spans="1:14" x14ac:dyDescent="0.4">
      <c r="A162" s="5">
        <v>45921</v>
      </c>
      <c r="B162">
        <v>13.1</v>
      </c>
      <c r="C162">
        <v>15.5</v>
      </c>
      <c r="D162">
        <v>15.8</v>
      </c>
      <c r="E162">
        <v>12.9</v>
      </c>
      <c r="F162">
        <v>13.1</v>
      </c>
      <c r="G162">
        <v>10.199999999999999</v>
      </c>
      <c r="H162">
        <v>23.1</v>
      </c>
      <c r="I162">
        <v>14.7</v>
      </c>
      <c r="J162">
        <v>14.6</v>
      </c>
      <c r="K162">
        <v>12.5</v>
      </c>
      <c r="L162">
        <v>16.600000000000001</v>
      </c>
      <c r="M162">
        <v>12.7</v>
      </c>
      <c r="N162">
        <v>20.5</v>
      </c>
    </row>
    <row r="163" spans="1:14" x14ac:dyDescent="0.4">
      <c r="A163" s="5">
        <v>45922</v>
      </c>
      <c r="B163">
        <v>17.899999999999999</v>
      </c>
      <c r="C163">
        <v>16.5</v>
      </c>
      <c r="D163">
        <v>14.5</v>
      </c>
      <c r="E163">
        <v>7.6</v>
      </c>
      <c r="F163">
        <v>8.8000000000000007</v>
      </c>
      <c r="G163">
        <v>11.8</v>
      </c>
      <c r="H163">
        <v>15.6</v>
      </c>
      <c r="I163">
        <v>17.5</v>
      </c>
      <c r="J163">
        <v>13.4</v>
      </c>
      <c r="K163">
        <v>10.3</v>
      </c>
      <c r="L163">
        <v>9.6999999999999993</v>
      </c>
      <c r="M163">
        <v>10.6</v>
      </c>
      <c r="N163">
        <v>15.6</v>
      </c>
    </row>
    <row r="164" spans="1:14" x14ac:dyDescent="0.4">
      <c r="A164" s="5">
        <v>45923</v>
      </c>
      <c r="B164">
        <v>16.7</v>
      </c>
      <c r="C164">
        <v>15.7</v>
      </c>
      <c r="D164">
        <v>15.2</v>
      </c>
      <c r="E164">
        <v>10.9</v>
      </c>
      <c r="F164">
        <v>13.6</v>
      </c>
      <c r="G164">
        <v>11.2</v>
      </c>
      <c r="H164">
        <v>14.6</v>
      </c>
      <c r="I164">
        <v>15.8</v>
      </c>
      <c r="J164">
        <v>14.1</v>
      </c>
      <c r="K164">
        <v>12.7</v>
      </c>
      <c r="L164">
        <v>12.5</v>
      </c>
      <c r="M164">
        <v>12.1</v>
      </c>
      <c r="N164">
        <v>12.1</v>
      </c>
    </row>
    <row r="165" spans="1:14" x14ac:dyDescent="0.4">
      <c r="A165" s="5">
        <v>45924</v>
      </c>
      <c r="B165">
        <v>19.3</v>
      </c>
      <c r="C165">
        <v>18.3</v>
      </c>
      <c r="D165">
        <v>17.600000000000001</v>
      </c>
      <c r="E165">
        <v>14.8</v>
      </c>
      <c r="F165">
        <v>11.4</v>
      </c>
      <c r="G165">
        <v>14.3</v>
      </c>
      <c r="H165">
        <v>18.5</v>
      </c>
      <c r="I165">
        <v>19.7</v>
      </c>
      <c r="J165">
        <v>16.3</v>
      </c>
      <c r="K165">
        <v>15.1</v>
      </c>
      <c r="L165">
        <v>15.1</v>
      </c>
      <c r="M165">
        <v>15</v>
      </c>
      <c r="N165">
        <v>16</v>
      </c>
    </row>
    <row r="166" spans="1:14" x14ac:dyDescent="0.4">
      <c r="A166" s="5">
        <v>45925</v>
      </c>
      <c r="B166">
        <v>21.2</v>
      </c>
      <c r="C166">
        <v>19.899999999999999</v>
      </c>
      <c r="D166">
        <v>19</v>
      </c>
      <c r="E166">
        <v>16.5</v>
      </c>
      <c r="F166">
        <v>8.5</v>
      </c>
      <c r="G166">
        <v>16.2</v>
      </c>
      <c r="H166">
        <v>23.9</v>
      </c>
      <c r="I166">
        <v>20.100000000000001</v>
      </c>
      <c r="J166">
        <v>17.7</v>
      </c>
      <c r="K166">
        <v>15.8</v>
      </c>
      <c r="L166">
        <v>17.600000000000001</v>
      </c>
      <c r="M166">
        <v>15.9</v>
      </c>
      <c r="N166">
        <v>18.8</v>
      </c>
    </row>
    <row r="167" spans="1:14" x14ac:dyDescent="0.4">
      <c r="A167" s="5">
        <v>45926</v>
      </c>
      <c r="B167">
        <v>21.8</v>
      </c>
      <c r="C167">
        <v>20.399999999999999</v>
      </c>
      <c r="D167">
        <v>20.5</v>
      </c>
      <c r="E167">
        <v>17</v>
      </c>
      <c r="F167">
        <v>14</v>
      </c>
      <c r="G167">
        <v>16.399999999999999</v>
      </c>
      <c r="H167">
        <v>22.9</v>
      </c>
      <c r="I167">
        <v>19.8</v>
      </c>
      <c r="J167">
        <v>18.399999999999999</v>
      </c>
      <c r="K167">
        <v>17.3</v>
      </c>
      <c r="L167">
        <v>18.3</v>
      </c>
      <c r="M167">
        <v>17.2</v>
      </c>
      <c r="N167">
        <v>20.9</v>
      </c>
    </row>
    <row r="168" spans="1:14" x14ac:dyDescent="0.4">
      <c r="A168" s="5">
        <v>45927</v>
      </c>
      <c r="B168">
        <v>22.8</v>
      </c>
      <c r="C168">
        <v>21.8</v>
      </c>
      <c r="D168">
        <v>22.2</v>
      </c>
      <c r="E168">
        <v>17.5</v>
      </c>
      <c r="F168">
        <v>15</v>
      </c>
      <c r="G168">
        <v>17.5</v>
      </c>
      <c r="H168">
        <v>24.2</v>
      </c>
      <c r="I168">
        <v>20.6</v>
      </c>
      <c r="J168">
        <v>19.8</v>
      </c>
      <c r="K168">
        <v>16.100000000000001</v>
      </c>
      <c r="L168">
        <v>18.2</v>
      </c>
      <c r="M168">
        <v>19.2</v>
      </c>
      <c r="N168">
        <v>20.2</v>
      </c>
    </row>
    <row r="169" spans="1:14" x14ac:dyDescent="0.4">
      <c r="A169" s="5">
        <v>45928</v>
      </c>
      <c r="B169">
        <v>22.2</v>
      </c>
      <c r="C169">
        <v>21.9</v>
      </c>
      <c r="D169">
        <v>20.9</v>
      </c>
      <c r="E169">
        <v>16.600000000000001</v>
      </c>
      <c r="F169">
        <v>12.9</v>
      </c>
      <c r="G169">
        <v>16.2</v>
      </c>
      <c r="H169">
        <v>25</v>
      </c>
      <c r="I169">
        <v>24.3</v>
      </c>
      <c r="J169">
        <v>19.7</v>
      </c>
      <c r="K169">
        <v>15.7</v>
      </c>
      <c r="L169">
        <v>17</v>
      </c>
      <c r="M169">
        <v>18.3</v>
      </c>
      <c r="N169">
        <v>20.3</v>
      </c>
    </row>
    <row r="170" spans="1:14" x14ac:dyDescent="0.4">
      <c r="A170" s="5">
        <v>45929</v>
      </c>
      <c r="B170">
        <v>21.7</v>
      </c>
      <c r="C170">
        <v>21</v>
      </c>
      <c r="D170">
        <v>20.3</v>
      </c>
      <c r="E170">
        <v>14.1</v>
      </c>
      <c r="F170">
        <v>15.2</v>
      </c>
      <c r="G170">
        <v>16.5</v>
      </c>
      <c r="H170">
        <v>22.9</v>
      </c>
      <c r="I170">
        <v>21.7</v>
      </c>
      <c r="J170">
        <v>18.8</v>
      </c>
      <c r="K170">
        <v>14.8</v>
      </c>
      <c r="L170">
        <v>17</v>
      </c>
      <c r="M170">
        <v>16.899999999999999</v>
      </c>
      <c r="N170">
        <v>20.399999999999999</v>
      </c>
    </row>
    <row r="171" spans="1:14" x14ac:dyDescent="0.4">
      <c r="A171" s="5">
        <v>45930</v>
      </c>
      <c r="B171">
        <v>16.399999999999999</v>
      </c>
      <c r="C171">
        <v>17.600000000000001</v>
      </c>
      <c r="D171">
        <v>18.8</v>
      </c>
      <c r="E171">
        <v>17</v>
      </c>
      <c r="F171">
        <v>14.8</v>
      </c>
      <c r="G171">
        <v>11.4</v>
      </c>
      <c r="H171">
        <v>11.3</v>
      </c>
      <c r="I171">
        <v>17</v>
      </c>
      <c r="J171">
        <v>16.399999999999999</v>
      </c>
      <c r="K171">
        <v>13.8</v>
      </c>
      <c r="L171">
        <v>16.600000000000001</v>
      </c>
      <c r="M171">
        <v>11.7</v>
      </c>
      <c r="N171">
        <v>18.899999999999999</v>
      </c>
    </row>
    <row r="172" spans="1:14" x14ac:dyDescent="0.4">
      <c r="A172" s="5">
        <v>45931</v>
      </c>
      <c r="B172">
        <v>16</v>
      </c>
      <c r="C172">
        <v>15.3</v>
      </c>
      <c r="D172">
        <v>16.399999999999999</v>
      </c>
      <c r="E172">
        <v>16.3</v>
      </c>
      <c r="F172">
        <v>15.5</v>
      </c>
      <c r="G172">
        <v>9.9</v>
      </c>
      <c r="H172">
        <v>14.1</v>
      </c>
      <c r="I172">
        <v>14</v>
      </c>
      <c r="J172">
        <v>15.7</v>
      </c>
      <c r="K172">
        <v>14.3</v>
      </c>
      <c r="L172">
        <v>16.5</v>
      </c>
      <c r="M172">
        <v>11.6</v>
      </c>
      <c r="N172">
        <v>19.399999999999999</v>
      </c>
    </row>
    <row r="173" spans="1:14" x14ac:dyDescent="0.4">
      <c r="A173" s="5">
        <v>45932</v>
      </c>
      <c r="B173">
        <v>13.5</v>
      </c>
      <c r="C173">
        <v>12.3</v>
      </c>
      <c r="D173">
        <v>14.2</v>
      </c>
      <c r="E173">
        <v>12</v>
      </c>
      <c r="F173">
        <v>12.7</v>
      </c>
      <c r="G173">
        <v>6.8</v>
      </c>
      <c r="H173">
        <v>15.1</v>
      </c>
      <c r="I173">
        <v>11.9</v>
      </c>
      <c r="J173">
        <v>13.3</v>
      </c>
      <c r="K173">
        <v>12.6</v>
      </c>
      <c r="L173">
        <v>11.3</v>
      </c>
      <c r="M173">
        <v>7.1</v>
      </c>
      <c r="N173">
        <v>24.4</v>
      </c>
    </row>
    <row r="174" spans="1:14" x14ac:dyDescent="0.4">
      <c r="A174" s="5">
        <v>45933</v>
      </c>
      <c r="B174">
        <v>11.6</v>
      </c>
      <c r="C174">
        <v>10.199999999999999</v>
      </c>
      <c r="D174">
        <v>6.9</v>
      </c>
      <c r="E174">
        <v>6.5</v>
      </c>
      <c r="F174">
        <v>5.3</v>
      </c>
      <c r="G174">
        <v>4.8</v>
      </c>
      <c r="H174">
        <v>10.7</v>
      </c>
      <c r="I174">
        <v>12.1</v>
      </c>
      <c r="J174">
        <v>5.6</v>
      </c>
      <c r="K174">
        <v>3.1</v>
      </c>
      <c r="L174">
        <v>7</v>
      </c>
      <c r="M174">
        <v>4.3</v>
      </c>
      <c r="N174">
        <v>21.6</v>
      </c>
    </row>
    <row r="175" spans="1:14" x14ac:dyDescent="0.4">
      <c r="A175" s="5">
        <v>45934</v>
      </c>
      <c r="B175">
        <v>11.3</v>
      </c>
      <c r="C175">
        <v>10.199999999999999</v>
      </c>
      <c r="D175">
        <v>8.5</v>
      </c>
      <c r="E175">
        <v>6.5</v>
      </c>
      <c r="F175">
        <v>6</v>
      </c>
      <c r="G175">
        <v>2</v>
      </c>
      <c r="H175">
        <v>12.6</v>
      </c>
      <c r="I175">
        <v>10</v>
      </c>
      <c r="J175">
        <v>6.7</v>
      </c>
      <c r="K175">
        <v>3.3</v>
      </c>
      <c r="L175">
        <v>7.1</v>
      </c>
      <c r="M175">
        <v>3.1</v>
      </c>
      <c r="N175">
        <v>10.7</v>
      </c>
    </row>
    <row r="176" spans="1:14" x14ac:dyDescent="0.4">
      <c r="A176" s="5">
        <v>45935</v>
      </c>
      <c r="B176">
        <v>9.5</v>
      </c>
      <c r="C176">
        <v>10.6</v>
      </c>
      <c r="D176">
        <v>6.5</v>
      </c>
      <c r="E176">
        <v>3.4</v>
      </c>
      <c r="F176">
        <v>7</v>
      </c>
      <c r="G176">
        <v>1.2</v>
      </c>
      <c r="H176">
        <v>14.7</v>
      </c>
      <c r="I176">
        <v>6.8</v>
      </c>
      <c r="J176">
        <v>4.4000000000000004</v>
      </c>
      <c r="K176">
        <v>2.2000000000000002</v>
      </c>
      <c r="L176">
        <v>6.8</v>
      </c>
      <c r="M176">
        <v>3.8</v>
      </c>
      <c r="N176">
        <v>13.2</v>
      </c>
    </row>
    <row r="177" spans="1:14" x14ac:dyDescent="0.4">
      <c r="A177" s="5">
        <v>45936</v>
      </c>
      <c r="B177">
        <v>3.8</v>
      </c>
      <c r="C177">
        <v>2</v>
      </c>
      <c r="D177">
        <v>0.4</v>
      </c>
      <c r="E177">
        <v>-0.5</v>
      </c>
      <c r="F177">
        <v>2.2999999999999998</v>
      </c>
      <c r="G177">
        <v>0</v>
      </c>
      <c r="H177">
        <v>6.2</v>
      </c>
      <c r="I177">
        <v>6.3</v>
      </c>
      <c r="J177">
        <v>-0.2</v>
      </c>
      <c r="K177">
        <v>-3.3</v>
      </c>
      <c r="L177">
        <v>-0.3</v>
      </c>
      <c r="M177">
        <v>-1.5</v>
      </c>
      <c r="N177">
        <v>7.5</v>
      </c>
    </row>
    <row r="178" spans="1:14" x14ac:dyDescent="0.4">
      <c r="A178" s="5">
        <v>45937</v>
      </c>
      <c r="B178">
        <v>6</v>
      </c>
      <c r="C178">
        <v>5</v>
      </c>
      <c r="D178">
        <v>2.8</v>
      </c>
      <c r="E178">
        <v>0.6</v>
      </c>
      <c r="F178">
        <v>3.9</v>
      </c>
      <c r="G178">
        <v>-1.6</v>
      </c>
      <c r="H178">
        <v>5.8</v>
      </c>
      <c r="I178">
        <v>5.8</v>
      </c>
      <c r="J178">
        <v>2</v>
      </c>
      <c r="K178">
        <v>0.2</v>
      </c>
      <c r="L178">
        <v>1.6</v>
      </c>
      <c r="M178">
        <v>-0.6</v>
      </c>
      <c r="N178">
        <v>3.3</v>
      </c>
    </row>
    <row r="179" spans="1:14" x14ac:dyDescent="0.4">
      <c r="A179" s="5">
        <v>45938</v>
      </c>
      <c r="B179">
        <v>8.3000000000000007</v>
      </c>
      <c r="C179">
        <v>6.3</v>
      </c>
      <c r="D179">
        <v>4.8</v>
      </c>
      <c r="E179">
        <v>5.2</v>
      </c>
      <c r="F179">
        <v>5.6</v>
      </c>
      <c r="G179">
        <v>0</v>
      </c>
      <c r="H179">
        <v>10.3</v>
      </c>
      <c r="I179">
        <v>7.7</v>
      </c>
      <c r="J179">
        <v>4.0999999999999996</v>
      </c>
      <c r="K179">
        <v>2.7</v>
      </c>
      <c r="L179">
        <v>6</v>
      </c>
      <c r="M179">
        <v>1.3</v>
      </c>
      <c r="N179">
        <v>10.7</v>
      </c>
    </row>
    <row r="180" spans="1:14" x14ac:dyDescent="0.4">
      <c r="A180" s="5">
        <v>45939</v>
      </c>
      <c r="B180">
        <v>9.1</v>
      </c>
      <c r="C180">
        <v>6</v>
      </c>
      <c r="D180">
        <v>5</v>
      </c>
      <c r="E180">
        <v>6.1</v>
      </c>
      <c r="F180">
        <v>8.5</v>
      </c>
      <c r="G180">
        <v>0.1</v>
      </c>
      <c r="H180">
        <v>11</v>
      </c>
      <c r="I180">
        <v>8.3000000000000007</v>
      </c>
      <c r="J180">
        <v>4</v>
      </c>
      <c r="K180">
        <v>3.9</v>
      </c>
      <c r="L180">
        <v>7.5</v>
      </c>
      <c r="M180">
        <v>1.3</v>
      </c>
      <c r="N180">
        <v>12.6</v>
      </c>
    </row>
    <row r="181" spans="1:14" x14ac:dyDescent="0.4">
      <c r="A181" s="5">
        <v>45940</v>
      </c>
      <c r="B181">
        <v>7.9</v>
      </c>
      <c r="C181">
        <v>6.7</v>
      </c>
      <c r="D181">
        <v>4.4000000000000004</v>
      </c>
      <c r="E181">
        <v>4.2</v>
      </c>
      <c r="F181">
        <v>4.8</v>
      </c>
      <c r="G181">
        <v>-0.5</v>
      </c>
      <c r="H181">
        <v>4.5999999999999996</v>
      </c>
      <c r="I181">
        <v>8.4</v>
      </c>
      <c r="J181">
        <v>3.8</v>
      </c>
      <c r="K181">
        <v>1.7</v>
      </c>
      <c r="L181">
        <v>5.6</v>
      </c>
      <c r="M181">
        <v>5.2</v>
      </c>
      <c r="N181">
        <v>8.6999999999999993</v>
      </c>
    </row>
    <row r="182" spans="1:14" x14ac:dyDescent="0.4">
      <c r="A182" s="5">
        <v>45941</v>
      </c>
      <c r="B182">
        <v>6</v>
      </c>
      <c r="C182">
        <v>2.8</v>
      </c>
      <c r="D182">
        <v>0.5</v>
      </c>
      <c r="E182">
        <v>1</v>
      </c>
      <c r="F182">
        <v>5.2</v>
      </c>
      <c r="G182">
        <v>-2.5</v>
      </c>
      <c r="H182">
        <v>5.2</v>
      </c>
      <c r="I182">
        <v>4</v>
      </c>
      <c r="J182">
        <v>-0.4</v>
      </c>
      <c r="K182">
        <v>-1</v>
      </c>
      <c r="L182">
        <v>-0.1</v>
      </c>
      <c r="M182">
        <v>-4.2</v>
      </c>
      <c r="N182">
        <v>10</v>
      </c>
    </row>
    <row r="183" spans="1:14" x14ac:dyDescent="0.4">
      <c r="A183" s="5">
        <v>45942</v>
      </c>
      <c r="B183">
        <v>6.5</v>
      </c>
      <c r="C183">
        <v>3.3</v>
      </c>
      <c r="D183">
        <v>1.6</v>
      </c>
      <c r="E183">
        <v>0.4</v>
      </c>
      <c r="F183">
        <v>5.0999999999999996</v>
      </c>
      <c r="G183">
        <v>-3.9</v>
      </c>
      <c r="H183">
        <v>-0.1</v>
      </c>
      <c r="I183">
        <v>2.9</v>
      </c>
      <c r="J183">
        <v>-1.1000000000000001</v>
      </c>
      <c r="K183">
        <v>-0.6</v>
      </c>
      <c r="L183">
        <v>1.6</v>
      </c>
      <c r="M183">
        <v>0.5</v>
      </c>
      <c r="N183">
        <v>6.6</v>
      </c>
    </row>
    <row r="184" spans="1:14" x14ac:dyDescent="0.4">
      <c r="A184" s="5">
        <v>45943</v>
      </c>
      <c r="B184">
        <v>4.5</v>
      </c>
      <c r="C184">
        <v>0.6</v>
      </c>
      <c r="D184">
        <v>-0.5</v>
      </c>
      <c r="E184">
        <v>0.9</v>
      </c>
      <c r="F184">
        <v>5.5</v>
      </c>
      <c r="G184">
        <v>-5.2</v>
      </c>
      <c r="H184">
        <v>2.5</v>
      </c>
      <c r="I184">
        <v>2.2999999999999998</v>
      </c>
      <c r="J184">
        <v>-0.1</v>
      </c>
      <c r="K184">
        <v>0</v>
      </c>
      <c r="L184">
        <v>0.5</v>
      </c>
      <c r="M184">
        <v>-7.7</v>
      </c>
      <c r="N184">
        <v>5.2</v>
      </c>
    </row>
    <row r="185" spans="1:14" x14ac:dyDescent="0.4">
      <c r="A185" s="5">
        <v>45944</v>
      </c>
      <c r="B185">
        <v>1.4</v>
      </c>
      <c r="C185">
        <v>-0.6</v>
      </c>
      <c r="D185">
        <v>-2.8</v>
      </c>
      <c r="E185">
        <v>-0.6</v>
      </c>
      <c r="F185">
        <v>0.4</v>
      </c>
      <c r="G185">
        <v>-3.7</v>
      </c>
      <c r="H185">
        <v>0.6</v>
      </c>
      <c r="I185">
        <v>2</v>
      </c>
      <c r="J185">
        <v>-2.4</v>
      </c>
      <c r="K185">
        <v>-4.5</v>
      </c>
      <c r="L185">
        <v>-1.1000000000000001</v>
      </c>
      <c r="M185">
        <v>-3.4</v>
      </c>
      <c r="N185">
        <v>2.2999999999999998</v>
      </c>
    </row>
    <row r="186" spans="1:14" x14ac:dyDescent="0.4">
      <c r="A186" s="5">
        <v>45945</v>
      </c>
      <c r="B186">
        <v>1.2</v>
      </c>
      <c r="C186">
        <v>-1.5</v>
      </c>
      <c r="D186">
        <v>-4.8</v>
      </c>
      <c r="E186">
        <v>-5</v>
      </c>
      <c r="F186">
        <v>-2.2999999999999998</v>
      </c>
      <c r="G186">
        <v>-4.7</v>
      </c>
      <c r="H186">
        <v>0</v>
      </c>
      <c r="I186">
        <v>-0.6</v>
      </c>
      <c r="J186">
        <v>-5.2</v>
      </c>
      <c r="K186">
        <v>-9.3000000000000007</v>
      </c>
      <c r="L186">
        <v>-4.9000000000000004</v>
      </c>
      <c r="M186">
        <v>-6.8</v>
      </c>
      <c r="N186">
        <v>-0.3</v>
      </c>
    </row>
    <row r="187" spans="1:14" x14ac:dyDescent="0.4">
      <c r="A187" s="5">
        <v>45946</v>
      </c>
      <c r="B187">
        <v>-0.5</v>
      </c>
      <c r="C187" t="s">
        <v>112</v>
      </c>
      <c r="D187" t="s">
        <v>112</v>
      </c>
      <c r="E187" t="s">
        <v>112</v>
      </c>
      <c r="F187">
        <v>-6.8</v>
      </c>
      <c r="G187" t="s">
        <v>112</v>
      </c>
      <c r="H187">
        <v>-2.5</v>
      </c>
      <c r="I187">
        <v>-0.5</v>
      </c>
      <c r="J187">
        <v>-5.8</v>
      </c>
      <c r="K187">
        <v>-8.4</v>
      </c>
      <c r="L187">
        <v>-6.6</v>
      </c>
      <c r="M187">
        <v>-8</v>
      </c>
      <c r="N187">
        <v>-3.3</v>
      </c>
    </row>
    <row r="188" spans="1:14" x14ac:dyDescent="0.4">
      <c r="A188" s="5">
        <v>45947</v>
      </c>
      <c r="B188">
        <v>1.1000000000000001</v>
      </c>
      <c r="C188">
        <v>-1.3</v>
      </c>
      <c r="D188">
        <v>-8.1</v>
      </c>
      <c r="E188">
        <v>-6.6</v>
      </c>
      <c r="F188">
        <v>-7.2</v>
      </c>
      <c r="G188">
        <v>-7.7</v>
      </c>
      <c r="H188">
        <v>-2.7</v>
      </c>
      <c r="I188">
        <v>-0.3</v>
      </c>
      <c r="J188">
        <v>-7.1</v>
      </c>
      <c r="K188">
        <v>-10.199999999999999</v>
      </c>
      <c r="L188">
        <v>-6</v>
      </c>
      <c r="M188">
        <v>-5.4</v>
      </c>
      <c r="N188">
        <v>-6.5</v>
      </c>
    </row>
    <row r="189" spans="1:14" x14ac:dyDescent="0.4">
      <c r="A189" s="5">
        <v>45948</v>
      </c>
      <c r="B189">
        <v>1.8</v>
      </c>
      <c r="C189">
        <v>-1</v>
      </c>
      <c r="D189">
        <v>-6.3</v>
      </c>
      <c r="E189">
        <v>-5.3</v>
      </c>
      <c r="F189">
        <v>-7.4</v>
      </c>
      <c r="G189">
        <v>-10.8</v>
      </c>
      <c r="H189">
        <v>-2.2000000000000002</v>
      </c>
      <c r="I189">
        <v>0.4</v>
      </c>
      <c r="J189">
        <v>-6.5</v>
      </c>
      <c r="K189">
        <v>-9.8000000000000007</v>
      </c>
      <c r="L189">
        <v>-6</v>
      </c>
      <c r="M189">
        <v>-11.9</v>
      </c>
      <c r="N189">
        <v>-7.4</v>
      </c>
    </row>
    <row r="190" spans="1:14" x14ac:dyDescent="0.4">
      <c r="A190" s="5">
        <v>45949</v>
      </c>
      <c r="B190">
        <v>3.4</v>
      </c>
      <c r="C190">
        <v>0.1</v>
      </c>
      <c r="D190">
        <v>-5.7</v>
      </c>
      <c r="E190">
        <v>-3.8</v>
      </c>
      <c r="F190">
        <v>-5.3</v>
      </c>
      <c r="G190">
        <v>-9.1</v>
      </c>
      <c r="H190">
        <v>-1</v>
      </c>
      <c r="I190">
        <v>1.7</v>
      </c>
      <c r="J190">
        <v>-10.9</v>
      </c>
      <c r="K190">
        <v>-7.4</v>
      </c>
      <c r="L190">
        <v>-4.5999999999999996</v>
      </c>
      <c r="M190">
        <v>-10.6</v>
      </c>
      <c r="N190">
        <v>-7.2</v>
      </c>
    </row>
    <row r="191" spans="1:14" x14ac:dyDescent="0.4">
      <c r="A191" s="5">
        <v>45950</v>
      </c>
      <c r="B191">
        <v>4.3</v>
      </c>
      <c r="C191">
        <v>0.5</v>
      </c>
      <c r="D191">
        <v>-4.5999999999999996</v>
      </c>
      <c r="E191">
        <v>-3.3</v>
      </c>
      <c r="F191">
        <v>-4.5</v>
      </c>
      <c r="G191">
        <v>-7.9</v>
      </c>
      <c r="H191">
        <v>0.9</v>
      </c>
      <c r="I191">
        <v>2.5</v>
      </c>
      <c r="J191">
        <v>-9.6</v>
      </c>
      <c r="K191">
        <v>-6</v>
      </c>
      <c r="L191">
        <v>-3.3</v>
      </c>
      <c r="M191">
        <v>-9.3000000000000007</v>
      </c>
      <c r="N191">
        <v>-4.7</v>
      </c>
    </row>
    <row r="192" spans="1:14" x14ac:dyDescent="0.4">
      <c r="A192" s="5">
        <v>45951</v>
      </c>
      <c r="B192">
        <v>4</v>
      </c>
      <c r="C192">
        <v>0.2</v>
      </c>
      <c r="D192">
        <v>-6.4</v>
      </c>
      <c r="E192">
        <v>-0.3</v>
      </c>
      <c r="F192">
        <v>-2.9</v>
      </c>
      <c r="G192">
        <v>-6.6</v>
      </c>
      <c r="H192">
        <v>0</v>
      </c>
      <c r="I192">
        <v>2.6</v>
      </c>
      <c r="J192">
        <v>-8.3000000000000007</v>
      </c>
      <c r="K192">
        <v>-6.6</v>
      </c>
      <c r="L192">
        <v>-0.4</v>
      </c>
      <c r="M192">
        <v>-8.6</v>
      </c>
      <c r="N192">
        <v>-1.2</v>
      </c>
    </row>
    <row r="193" spans="1:14" x14ac:dyDescent="0.4">
      <c r="A193" s="5">
        <v>45952</v>
      </c>
      <c r="B193">
        <v>4.5</v>
      </c>
      <c r="C193">
        <v>1.9</v>
      </c>
      <c r="D193">
        <v>-4.5</v>
      </c>
      <c r="E193">
        <v>0.1</v>
      </c>
      <c r="F193">
        <v>0</v>
      </c>
      <c r="G193">
        <v>-7.5</v>
      </c>
      <c r="H193">
        <v>0.7</v>
      </c>
      <c r="I193">
        <v>4.3</v>
      </c>
      <c r="J193">
        <v>-5.7</v>
      </c>
      <c r="K193">
        <v>-4.7</v>
      </c>
      <c r="L193">
        <v>-0.4</v>
      </c>
      <c r="M193">
        <v>-9.5</v>
      </c>
      <c r="N193">
        <v>-1.1000000000000001</v>
      </c>
    </row>
    <row r="194" spans="1:14" x14ac:dyDescent="0.4">
      <c r="A194" s="5">
        <v>45953</v>
      </c>
      <c r="B194">
        <v>2.7</v>
      </c>
      <c r="C194">
        <v>2.7</v>
      </c>
      <c r="D194">
        <v>-4.4000000000000004</v>
      </c>
      <c r="E194">
        <v>2.2999999999999998</v>
      </c>
      <c r="F194">
        <v>0.9</v>
      </c>
      <c r="G194">
        <v>-5.6</v>
      </c>
      <c r="H194">
        <v>1.3</v>
      </c>
      <c r="I194">
        <v>4.5</v>
      </c>
      <c r="J194">
        <v>-5.0999999999999996</v>
      </c>
      <c r="K194">
        <v>-4.8</v>
      </c>
      <c r="L194">
        <v>0.9</v>
      </c>
      <c r="M194">
        <v>-7.3</v>
      </c>
      <c r="N194">
        <v>-1.8</v>
      </c>
    </row>
    <row r="195" spans="1:14" x14ac:dyDescent="0.4">
      <c r="A195" s="5">
        <v>45954</v>
      </c>
      <c r="B195">
        <v>4.9000000000000004</v>
      </c>
      <c r="C195">
        <v>2.7</v>
      </c>
      <c r="D195">
        <v>-1.9</v>
      </c>
      <c r="E195">
        <v>1.4</v>
      </c>
      <c r="F195">
        <v>0.9</v>
      </c>
      <c r="G195">
        <v>-4.7</v>
      </c>
      <c r="H195">
        <v>1.7</v>
      </c>
      <c r="I195">
        <v>3.5</v>
      </c>
      <c r="J195">
        <v>-1.4</v>
      </c>
      <c r="K195">
        <v>-4.5999999999999996</v>
      </c>
      <c r="L195">
        <v>1.1000000000000001</v>
      </c>
      <c r="M195">
        <v>-7.6</v>
      </c>
      <c r="N195">
        <v>-1.3</v>
      </c>
    </row>
    <row r="196" spans="1:14" x14ac:dyDescent="0.4">
      <c r="A196" s="5">
        <v>45955</v>
      </c>
      <c r="B196">
        <v>5.2</v>
      </c>
      <c r="C196">
        <v>3.5</v>
      </c>
      <c r="D196">
        <v>-4</v>
      </c>
      <c r="E196">
        <v>1.7</v>
      </c>
      <c r="F196">
        <v>2</v>
      </c>
      <c r="G196">
        <v>-2.4</v>
      </c>
      <c r="H196">
        <v>1.9</v>
      </c>
      <c r="I196">
        <v>1.8</v>
      </c>
      <c r="J196">
        <v>-2.2000000000000002</v>
      </c>
      <c r="K196">
        <v>-3.7</v>
      </c>
      <c r="L196">
        <v>1.4</v>
      </c>
      <c r="M196">
        <v>-3.2</v>
      </c>
      <c r="N196">
        <v>-2.9</v>
      </c>
    </row>
    <row r="197" spans="1:14" x14ac:dyDescent="0.4">
      <c r="A197" s="5">
        <v>45956</v>
      </c>
      <c r="B197">
        <v>5.6</v>
      </c>
      <c r="C197">
        <v>3.4</v>
      </c>
      <c r="D197">
        <v>1.9</v>
      </c>
      <c r="E197">
        <v>0.7</v>
      </c>
      <c r="F197">
        <v>2.1</v>
      </c>
      <c r="G197">
        <v>-3.8</v>
      </c>
      <c r="H197">
        <v>0.5</v>
      </c>
      <c r="I197">
        <v>4.8</v>
      </c>
      <c r="J197">
        <v>-5</v>
      </c>
      <c r="K197">
        <v>-1.4</v>
      </c>
      <c r="L197">
        <v>1.4</v>
      </c>
      <c r="M197">
        <v>-4.7</v>
      </c>
      <c r="N197">
        <v>-1.6</v>
      </c>
    </row>
    <row r="198" spans="1:14" x14ac:dyDescent="0.4">
      <c r="A198" s="5">
        <v>45957</v>
      </c>
      <c r="B198">
        <v>5.6</v>
      </c>
      <c r="C198" t="s">
        <v>112</v>
      </c>
      <c r="D198" t="s">
        <v>112</v>
      </c>
      <c r="E198" t="s">
        <v>112</v>
      </c>
      <c r="F198">
        <v>-0.9</v>
      </c>
      <c r="G198" t="s">
        <v>112</v>
      </c>
      <c r="H198">
        <v>2.9</v>
      </c>
      <c r="I198">
        <v>4.3</v>
      </c>
      <c r="J198">
        <v>-3.9</v>
      </c>
      <c r="K198">
        <v>1.8</v>
      </c>
      <c r="L198">
        <v>1.5</v>
      </c>
      <c r="M198">
        <v>-7.6</v>
      </c>
      <c r="N198">
        <v>4.0999999999999996</v>
      </c>
    </row>
    <row r="199" spans="1:14" x14ac:dyDescent="0.4">
      <c r="A199" s="5">
        <v>45958</v>
      </c>
      <c r="B199">
        <v>7</v>
      </c>
      <c r="C199">
        <v>5.3</v>
      </c>
      <c r="D199">
        <v>-0.3</v>
      </c>
      <c r="E199">
        <v>3.8</v>
      </c>
      <c r="F199">
        <v>5.2</v>
      </c>
      <c r="G199">
        <v>-0.6</v>
      </c>
      <c r="H199">
        <v>2.9</v>
      </c>
      <c r="I199">
        <v>8.6</v>
      </c>
      <c r="J199">
        <v>1.1000000000000001</v>
      </c>
      <c r="K199">
        <v>0.4</v>
      </c>
      <c r="L199">
        <v>4.7</v>
      </c>
      <c r="M199">
        <v>-0.3</v>
      </c>
      <c r="N199">
        <v>3.8</v>
      </c>
    </row>
    <row r="200" spans="1:14" x14ac:dyDescent="0.4">
      <c r="A200" s="5">
        <v>45959</v>
      </c>
      <c r="B200">
        <v>7.5</v>
      </c>
      <c r="C200">
        <v>5.2</v>
      </c>
      <c r="D200">
        <v>-1.9</v>
      </c>
      <c r="E200">
        <v>3.8</v>
      </c>
      <c r="F200">
        <v>3</v>
      </c>
      <c r="G200">
        <v>-1.2</v>
      </c>
      <c r="H200">
        <v>2.6</v>
      </c>
      <c r="I200">
        <v>5.8</v>
      </c>
      <c r="J200">
        <v>-1.2</v>
      </c>
      <c r="K200">
        <v>-2.8</v>
      </c>
      <c r="L200">
        <v>3.4</v>
      </c>
      <c r="M200">
        <v>0.3</v>
      </c>
      <c r="N200">
        <v>1.7</v>
      </c>
    </row>
    <row r="201" spans="1:14" x14ac:dyDescent="0.4">
      <c r="A201" s="5">
        <v>45960</v>
      </c>
      <c r="B201">
        <v>8.4</v>
      </c>
      <c r="C201">
        <v>6.5</v>
      </c>
      <c r="D201">
        <v>1.1000000000000001</v>
      </c>
      <c r="E201">
        <v>3.6</v>
      </c>
      <c r="F201">
        <v>2.6</v>
      </c>
      <c r="G201">
        <v>1.2</v>
      </c>
      <c r="H201">
        <v>2.6</v>
      </c>
      <c r="I201">
        <v>7.5</v>
      </c>
      <c r="J201">
        <v>0.8</v>
      </c>
      <c r="K201">
        <v>-1.1000000000000001</v>
      </c>
      <c r="L201">
        <v>3.9</v>
      </c>
      <c r="M201">
        <v>1.8</v>
      </c>
      <c r="N201">
        <v>1.5</v>
      </c>
    </row>
    <row r="202" spans="1:14" x14ac:dyDescent="0.4">
      <c r="A202" s="5">
        <v>45961</v>
      </c>
      <c r="B202">
        <v>6.9</v>
      </c>
      <c r="C202">
        <v>6.2</v>
      </c>
      <c r="D202">
        <v>-0.9</v>
      </c>
      <c r="E202">
        <v>5</v>
      </c>
      <c r="F202">
        <v>4.2</v>
      </c>
      <c r="G202">
        <v>4.7</v>
      </c>
      <c r="H202">
        <v>6.2</v>
      </c>
      <c r="I202">
        <v>5.7</v>
      </c>
      <c r="J202">
        <v>-1.1000000000000001</v>
      </c>
      <c r="K202">
        <v>-0.9</v>
      </c>
      <c r="L202">
        <v>5.3</v>
      </c>
      <c r="M202">
        <v>4.9000000000000004</v>
      </c>
      <c r="N202">
        <v>4.4000000000000004</v>
      </c>
    </row>
    <row r="203" spans="1:14" x14ac:dyDescent="0.4">
      <c r="A203" s="5">
        <v>45962</v>
      </c>
      <c r="B203">
        <v>6.6</v>
      </c>
      <c r="C203" t="s">
        <v>112</v>
      </c>
      <c r="D203" t="s">
        <v>112</v>
      </c>
      <c r="E203" t="s">
        <v>112</v>
      </c>
      <c r="F203">
        <v>4.5999999999999996</v>
      </c>
      <c r="G203" t="s">
        <v>112</v>
      </c>
      <c r="H203">
        <v>8.1</v>
      </c>
      <c r="I203">
        <v>5</v>
      </c>
      <c r="J203">
        <v>0.5</v>
      </c>
      <c r="K203">
        <v>-0.4</v>
      </c>
      <c r="L203">
        <v>4.2</v>
      </c>
      <c r="M203">
        <v>1.4</v>
      </c>
      <c r="N203">
        <v>5.0999999999999996</v>
      </c>
    </row>
    <row r="204" spans="1:14" x14ac:dyDescent="0.4">
      <c r="A204" s="5">
        <v>45963</v>
      </c>
      <c r="B204">
        <v>1.5</v>
      </c>
      <c r="C204">
        <v>3.2</v>
      </c>
      <c r="D204">
        <v>0.8</v>
      </c>
      <c r="E204">
        <v>5.7</v>
      </c>
      <c r="F204">
        <v>5.5</v>
      </c>
      <c r="G204">
        <v>1.9</v>
      </c>
      <c r="H204">
        <v>12</v>
      </c>
      <c r="I204">
        <v>7</v>
      </c>
      <c r="J204">
        <v>-0.1</v>
      </c>
      <c r="K204">
        <v>1.5</v>
      </c>
      <c r="L204">
        <v>6</v>
      </c>
      <c r="M204">
        <v>-6.4</v>
      </c>
      <c r="N204">
        <v>10</v>
      </c>
    </row>
    <row r="205" spans="1:14" x14ac:dyDescent="0.4">
      <c r="A205" s="5">
        <v>45964</v>
      </c>
    </row>
    <row r="206" spans="1:14" x14ac:dyDescent="0.4">
      <c r="A206" s="5">
        <v>45965</v>
      </c>
    </row>
    <row r="207" spans="1:14" x14ac:dyDescent="0.4">
      <c r="A207" s="5">
        <v>45966</v>
      </c>
    </row>
    <row r="208" spans="1:14" x14ac:dyDescent="0.4">
      <c r="A208" s="5">
        <v>45967</v>
      </c>
    </row>
    <row r="209" spans="1:1" x14ac:dyDescent="0.4">
      <c r="A209" s="5">
        <v>45968</v>
      </c>
    </row>
    <row r="210" spans="1:1" x14ac:dyDescent="0.4">
      <c r="A210" s="5">
        <v>45969</v>
      </c>
    </row>
    <row r="211" spans="1:1" x14ac:dyDescent="0.4">
      <c r="A211" s="5">
        <v>45970</v>
      </c>
    </row>
    <row r="212" spans="1:1" x14ac:dyDescent="0.4">
      <c r="A212" s="5">
        <v>45971</v>
      </c>
    </row>
    <row r="213" spans="1:1" x14ac:dyDescent="0.4">
      <c r="A213" s="5">
        <v>45972</v>
      </c>
    </row>
    <row r="214" spans="1:1" x14ac:dyDescent="0.4">
      <c r="A214" s="5">
        <v>45973</v>
      </c>
    </row>
    <row r="215" spans="1:1" x14ac:dyDescent="0.4">
      <c r="A215" s="5">
        <v>45974</v>
      </c>
    </row>
    <row r="216" spans="1:1" x14ac:dyDescent="0.4">
      <c r="A216" s="5">
        <v>45975</v>
      </c>
    </row>
    <row r="217" spans="1:1" x14ac:dyDescent="0.4">
      <c r="A217" s="5">
        <v>45976</v>
      </c>
    </row>
    <row r="218" spans="1:1" x14ac:dyDescent="0.4">
      <c r="A218" s="5">
        <v>45977</v>
      </c>
    </row>
    <row r="219" spans="1:1" x14ac:dyDescent="0.4">
      <c r="A219" s="5">
        <v>45978</v>
      </c>
    </row>
    <row r="220" spans="1:1" x14ac:dyDescent="0.4">
      <c r="A220" s="5">
        <v>45979</v>
      </c>
    </row>
    <row r="221" spans="1:1" x14ac:dyDescent="0.4">
      <c r="A221" s="5">
        <v>45980</v>
      </c>
    </row>
    <row r="222" spans="1:1" x14ac:dyDescent="0.4">
      <c r="A222" s="5">
        <v>45981</v>
      </c>
    </row>
    <row r="223" spans="1:1" x14ac:dyDescent="0.4">
      <c r="A223" s="5">
        <v>45982</v>
      </c>
    </row>
    <row r="224" spans="1:1" x14ac:dyDescent="0.4">
      <c r="A224" s="5">
        <v>45983</v>
      </c>
    </row>
    <row r="225" spans="1:1" x14ac:dyDescent="0.4">
      <c r="A225" s="5">
        <v>45984</v>
      </c>
    </row>
    <row r="226" spans="1:1" x14ac:dyDescent="0.4">
      <c r="A226" s="5">
        <v>45985</v>
      </c>
    </row>
    <row r="227" spans="1:1" x14ac:dyDescent="0.4">
      <c r="A227" s="5">
        <v>45986</v>
      </c>
    </row>
    <row r="228" spans="1:1" x14ac:dyDescent="0.4">
      <c r="A228" s="5">
        <v>45987</v>
      </c>
    </row>
    <row r="229" spans="1:1" x14ac:dyDescent="0.4">
      <c r="A229" s="5">
        <v>45988</v>
      </c>
    </row>
    <row r="230" spans="1:1" x14ac:dyDescent="0.4">
      <c r="A230" s="5">
        <v>45989</v>
      </c>
    </row>
    <row r="231" spans="1:1" x14ac:dyDescent="0.4">
      <c r="A231" s="5">
        <v>45990</v>
      </c>
    </row>
    <row r="232" spans="1:1" x14ac:dyDescent="0.4">
      <c r="A232" s="5">
        <v>45991</v>
      </c>
    </row>
    <row r="233" spans="1:1" x14ac:dyDescent="0.4">
      <c r="A233" s="5">
        <v>45992</v>
      </c>
    </row>
    <row r="234" spans="1:1" x14ac:dyDescent="0.4">
      <c r="A234" s="5">
        <v>45993</v>
      </c>
    </row>
    <row r="235" spans="1:1" x14ac:dyDescent="0.4">
      <c r="A235" s="5">
        <v>45994</v>
      </c>
    </row>
    <row r="236" spans="1:1" x14ac:dyDescent="0.4">
      <c r="A236" s="5">
        <v>45995</v>
      </c>
    </row>
    <row r="237" spans="1:1" x14ac:dyDescent="0.4">
      <c r="A237" s="5">
        <v>45996</v>
      </c>
    </row>
    <row r="238" spans="1:1" x14ac:dyDescent="0.4">
      <c r="A238" s="5">
        <v>45997</v>
      </c>
    </row>
    <row r="239" spans="1:1" x14ac:dyDescent="0.4">
      <c r="A239" s="5">
        <v>45998</v>
      </c>
    </row>
    <row r="240" spans="1:1" x14ac:dyDescent="0.4">
      <c r="A240" s="5">
        <v>45999</v>
      </c>
    </row>
    <row r="241" spans="1:1" x14ac:dyDescent="0.4">
      <c r="A241" s="5">
        <v>46000</v>
      </c>
    </row>
    <row r="242" spans="1:1" x14ac:dyDescent="0.4">
      <c r="A242" s="5">
        <v>46001</v>
      </c>
    </row>
    <row r="243" spans="1:1" x14ac:dyDescent="0.4">
      <c r="A243" s="5">
        <v>46002</v>
      </c>
    </row>
    <row r="244" spans="1:1" x14ac:dyDescent="0.4">
      <c r="A244" s="5">
        <v>46003</v>
      </c>
    </row>
    <row r="245" spans="1:1" x14ac:dyDescent="0.4">
      <c r="A245" s="5">
        <v>46004</v>
      </c>
    </row>
    <row r="246" spans="1:1" x14ac:dyDescent="0.4">
      <c r="A246" s="5">
        <v>46005</v>
      </c>
    </row>
    <row r="247" spans="1:1" x14ac:dyDescent="0.4">
      <c r="A247" s="5">
        <v>46006</v>
      </c>
    </row>
    <row r="248" spans="1:1" x14ac:dyDescent="0.4">
      <c r="A248" s="5">
        <v>46007</v>
      </c>
    </row>
    <row r="249" spans="1:1" x14ac:dyDescent="0.4">
      <c r="A249" s="5">
        <v>46008</v>
      </c>
    </row>
    <row r="250" spans="1:1" x14ac:dyDescent="0.4">
      <c r="A250" s="5">
        <v>46009</v>
      </c>
    </row>
    <row r="251" spans="1:1" x14ac:dyDescent="0.4">
      <c r="A251" s="5">
        <v>46010</v>
      </c>
    </row>
    <row r="252" spans="1:1" x14ac:dyDescent="0.4">
      <c r="A252" s="5">
        <v>46011</v>
      </c>
    </row>
    <row r="253" spans="1:1" x14ac:dyDescent="0.4">
      <c r="A253" s="5">
        <v>46012</v>
      </c>
    </row>
    <row r="254" spans="1:1" x14ac:dyDescent="0.4">
      <c r="A254" s="5">
        <v>46013</v>
      </c>
    </row>
    <row r="255" spans="1:1" x14ac:dyDescent="0.4">
      <c r="A255" s="5">
        <v>46014</v>
      </c>
    </row>
    <row r="256" spans="1:1" x14ac:dyDescent="0.4">
      <c r="A256" s="5">
        <v>46015</v>
      </c>
    </row>
    <row r="257" spans="1:1" x14ac:dyDescent="0.4">
      <c r="A257" s="5">
        <v>46016</v>
      </c>
    </row>
    <row r="258" spans="1:1" x14ac:dyDescent="0.4">
      <c r="A258" s="5">
        <v>46017</v>
      </c>
    </row>
    <row r="259" spans="1:1" x14ac:dyDescent="0.4">
      <c r="A259" s="5">
        <v>46018</v>
      </c>
    </row>
    <row r="260" spans="1:1" x14ac:dyDescent="0.4">
      <c r="A260" s="5">
        <v>46019</v>
      </c>
    </row>
    <row r="261" spans="1:1" x14ac:dyDescent="0.4">
      <c r="A261" s="5">
        <v>46020</v>
      </c>
    </row>
    <row r="262" spans="1:1" x14ac:dyDescent="0.4">
      <c r="A262" s="5">
        <v>46021</v>
      </c>
    </row>
    <row r="263" spans="1:1" x14ac:dyDescent="0.4">
      <c r="A263" s="5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2025-11-02T13:15:12Z</dcterms:modified>
</cp:coreProperties>
</file>