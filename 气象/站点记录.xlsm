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04049F9D-0250-420A-AD11-712240E890B2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<sst xmlns="http://schemas.openxmlformats.org/spreadsheetml/2006/main" count="1232" uniqueCount="403">
  <si>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</si>
  <si>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</si>
  <si>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</si>
  <si>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</si>
  <si>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</si>
  <si>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</si>
  <si>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</si>
  <si>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</si>
  <si>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</si>
  <si>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</si>
  <si>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</si>
  <si>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</si>
  <si>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</si>
  <si>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</si>
  <si>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</si>
  <si>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</si>
  <si>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</si>
  <si>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</si>
  <si>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</si>
  <si>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</si>
  <si>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</si>
  <si>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</si>
  <si>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</si>
  <si>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</si>
  <si>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</si>
  <si>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</si>
  <si>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</si>
  <si>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</si>
  <si>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</si>
  <si>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</si>
  <si>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</si>
  <si>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</si>
  <si>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</si>
  <si>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</si>
  <si>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</si>
  <si>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</si>
  <si>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</si>
  <si>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</si>
  <si>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</si>
  <si>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</si>
  <si>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</si>
  <si>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</si>
  <si>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</si>
  <si>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</si>
  <si>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</si>
  <si>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</si>
  <si>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</si>
  <si>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</si>
  <si>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</si>
  <si>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</si>
  <si>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</si>
  <si>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</si>
  <si>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</si>
  <si>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</si>
  <si>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</si>
  <si>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</si>
  <si>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</si>
  <si>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</si>
  <si>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</si>
  <si>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</si>
  <si>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</si>
  <si>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</si>
  <si>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</si>
  <si>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</si>
  <si>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</si>
  <si>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</si>
  <si>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</si>
  <si>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</si>
  <si>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</si>
  <si>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</si>
  <si>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</si>
  <si>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</si>
  <si>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</si>
  <si>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</si>
  <si>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</si>
  <si>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</si>
  <si>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</si>
  <si>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</si>
  <si>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</si>
  <si>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</si>
  <si>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</si>
  <si>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</si>
  <si>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</si>
  <si>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</si>
  <si>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</si>
  <si>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</si>
  <si>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</si>
  <si>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</si>
  <si>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</si>
  <si>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</si>
  <si>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</si>
  <si>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</si>
  <si>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</si>
  <si>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</si>
  <si>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</si>
  <si>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</si>
  <si>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</si>
  <si>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</si>
  <si>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</si>
  <si>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</si>
  <si>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</si>
  <si>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</si>
  <si>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</si>
  <si>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</si>
  <si>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</si>
  <si>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</si>
  <si>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</si>
  <si>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</si>
  <si>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</si>
  <si>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</si>
  <si>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</si>
  <si>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</si>
  <si>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</si>
  <si>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</si>
  <si>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</si>
  <si>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</si>
  <si>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</si>
  <si>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</si>
  <si>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</si>
  <si>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</si>
  <si>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</si>
  <si>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</si>
  <si>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</si>
  <si>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</si>
  <si>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</si>
  <si>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</si>
  <si>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</si>
  <si>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</si>
  <si>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</si>
  <si>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</si>
  <si>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</si>
  <si>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</si>
  <si>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</si>
  <si>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</si>
  <si>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</si>
  <si>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</si>
  <si>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</si>
  <si>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</si>
  <si>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</si>
  <si>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</si>
  <si>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</si>
  <si>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</si>
  <si>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</si>
  <si>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</si>
  <si>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</si>
  <si>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</si>
  <si>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</si>
  <si>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</si>
  <si>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</si>
  <si>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</si>
  <si>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</si>
  <si>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</si>
  <si>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</si>
  <si>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</si>
  <si>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</si>
  <si>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</si>
  <si>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</si>
  <si>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</si>
  <si>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</si>
  <si>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</si>
  <si>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</si>
  <si>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</si>
  <si>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</si>
  <si>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</si>
  <si>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</si>
  <si>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</si>
  <si>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</si>
  <si>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</si>
  <si>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</si>
  <si>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</si>
  <si>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</si>
  <si>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</si>
  <si>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</si>
  <si>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</si>
  <si>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</si>
  <si>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</si>
  <si>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</si>
  <si>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</si>
  <si>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</si>
  <si>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</si>
  <si>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</si>
  <si>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</si>
  <si>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</si>
  <si>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</si>
  <si>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</si>
  <si>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</si>
  <si>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</si>
  <si>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</si>
  <si>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</si>
  <si>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</si>
  <si>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</si>
  <si>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</si>
  <si>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</si>
  <si>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</si>
  <si>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</si>
  <si>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</si>
  <si>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</si>
  <si>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</si>
  <si>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</si>
  <si>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</si>
  <si>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</si>
  <si>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</si>
  <si>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</si>
  <si>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</si>
  <si>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</si>
  <si>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</si>
  <si>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</si>
  <si>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</si>
  <si>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</si>
  <si>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</si>
  <si>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</si>
  <si>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</si>
  <si>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</si>
  <si>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</si>
  <si>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</si>
  <si>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</si>
  <si>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</si>
  <si>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</si>
  <si>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</si>
  <si>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</si>
  <si>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</si>
  <si>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</si>
  <si>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</si>
  <si>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</si>
  <si>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</si>
  <si>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</si>
  <si>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</si>
  <si>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</si>
  <si>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</si>
  <si>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</si>
  <si>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</si>
  <si>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</si>
  <si>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</si>
  <si>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</si>
  <si>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</si>
  <si>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</si>
  <si>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</si>
  <si>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</si>
  <si>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</si>
  <si>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</si>
  <si>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</si>
  <si>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</si>
  <si>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</si>
  <si>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</si>
  <si>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</si>
  <si>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</si>
  <si>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</si>
  <si>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</si>
  <si>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</si>
  <si>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</si>
  <si>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</si>
  <si>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</si>
  <si>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</si>
  <si>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</si>
  <si>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</si>
  <si>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</si>
  <si>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</si>
  <si>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</si>
  <si>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</si>
  <si>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</si>
  <si>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</si>
  <si>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</si>
  <si>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</si>
  <si>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</si>
  <si>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</si>
  <si>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</si>
  <si>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</si>
  <si>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</si>
  <si>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</si>
  <si>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</si>
  <si>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</si>
  <si>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</si>
  <si>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</si>
  <si>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</si>
  <si>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</si>
  <si>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</si>
  <si>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</si>
  <si>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</si>
  <si>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</si>
  <si>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</si>
  <si>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</si>
  <si>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</si>
  <si>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</si>
  <si>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</si>
  <si>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</si>
  <si>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</si>
  <si>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</si>
  <si>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</si>
  <si>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</si>
  <si>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</si>
  <si>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</si>
  <si>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</si>
  <si>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</si>
  <si>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</si>
  <si>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</si>
  <si>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</si>
  <si>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</si>
  <si>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</si>
  <si>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</si>
  <si>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</si>
  <si>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</si>
  <si>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</si>
  <si>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</si>
  <si>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</si>
  <si>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</si>
  <si>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</si>
  <si>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</si>
  <si>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</si>
  <si>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</si>
  <si>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</si>
  <si>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</si>
  <si>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</si>
  <si>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</si>
  <si>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蒙古 中央省</t>
  </si>
  <si>
    <t>蒙根莫里特</t>
  </si>
  <si>
    <t>48.21 °N</t>
  </si>
  <si>
    <t>1432m</t>
  </si>
  <si>
    <t>ZX</t>
    <phoneticPr fontId="1" type="noConversion"/>
  </si>
  <si>
    <t>黑龙江 大兴安岭地区</t>
    <phoneticPr fontId="1" type="noConversion"/>
  </si>
  <si>
    <t>塔河马林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</si>
  <si>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</si>
  <si>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</si>
  <si>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</si>
  <si>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</si>
  <si>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</si>
  <si>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</si>
  <si>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</si>
  <si>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</si>
  <si>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</si>
  <si>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</si>
  <si>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39.81 °N</t>
  </si>
  <si>
    <t>33m</t>
  </si>
  <si>
    <t>34.43 °N</t>
  </si>
  <si>
    <t>410m</t>
  </si>
  <si>
    <t>31.93 °N</t>
  </si>
  <si>
    <t>23.21 °N</t>
  </si>
  <si>
    <t>71m</t>
  </si>
  <si>
    <t>30.75 °N</t>
  </si>
  <si>
    <t>548m</t>
  </si>
  <si>
    <t>31.19 °N</t>
  </si>
  <si>
    <t>2m</t>
  </si>
  <si>
    <t>喀纳斯湖</t>
  </si>
  <si>
    <t>48.72 °N</t>
  </si>
  <si>
    <t>1367m</t>
  </si>
  <si>
    <t>赛里木湖</t>
  </si>
  <si>
    <t>44.60 °N</t>
  </si>
  <si>
    <t>2100m</t>
  </si>
  <si>
    <t>42.03 °N</t>
  </si>
  <si>
    <t>2620m</t>
  </si>
  <si>
    <t>33.04 °N</t>
  </si>
  <si>
    <t>3099m</t>
  </si>
  <si>
    <t>29.04 °N</t>
  </si>
  <si>
    <t>1443m</t>
  </si>
  <si>
    <t>黄山</t>
  </si>
  <si>
    <t>30.13 °N</t>
  </si>
  <si>
    <t>1840m</t>
  </si>
  <si>
    <t>纬度</t>
    <phoneticPr fontId="1" type="noConversion"/>
  </si>
  <si>
    <t>寒冷大PK(℃)</t>
    <phoneticPr fontId="1" type="noConversion"/>
  </si>
  <si>
    <r>
      <t xml:space="preserve">北京市
</t>
    </r>
    <r>
      <rPr>
        <sz val="12"/>
        <color theme="0"/>
        <rFont val="等线"/>
        <family val="3"/>
        <charset val="134"/>
        <scheme val="minor"/>
      </rPr>
      <t>大兴区</t>
    </r>
    <phoneticPr fontId="1" type="noConversion"/>
  </si>
  <si>
    <r>
      <t xml:space="preserve">陕西
</t>
    </r>
    <r>
      <rPr>
        <sz val="12"/>
        <color theme="0"/>
        <rFont val="等线"/>
        <family val="3"/>
        <charset val="134"/>
        <scheme val="minor"/>
      </rPr>
      <t>西安市 高陵区</t>
    </r>
    <phoneticPr fontId="1" type="noConversion"/>
  </si>
  <si>
    <r>
      <t xml:space="preserve">江苏
</t>
    </r>
    <r>
      <rPr>
        <sz val="12"/>
        <color theme="0"/>
        <rFont val="等线"/>
        <family val="3"/>
        <charset val="134"/>
        <scheme val="minor"/>
      </rPr>
      <t>南京市 江宁区</t>
    </r>
    <phoneticPr fontId="1" type="noConversion"/>
  </si>
  <si>
    <r>
      <t xml:space="preserve">广东
</t>
    </r>
    <r>
      <rPr>
        <sz val="12"/>
        <color theme="0"/>
        <rFont val="等线"/>
        <family val="3"/>
        <charset val="134"/>
        <scheme val="minor"/>
      </rPr>
      <t>广州市 黄埔区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</si>
  <si>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成都市 温江区</t>
    </r>
    <phoneticPr fontId="1" type="noConversion"/>
  </si>
  <si>
    <r>
      <t xml:space="preserve">上海市
</t>
    </r>
    <r>
      <rPr>
        <sz val="12"/>
        <color theme="0"/>
        <rFont val="等线"/>
        <family val="3"/>
        <charset val="134"/>
        <scheme val="minor"/>
      </rPr>
      <t>徐汇区</t>
    </r>
    <phoneticPr fontId="1" type="noConversion"/>
  </si>
  <si>
    <r>
      <t xml:space="preserve">新疆
</t>
    </r>
    <r>
      <rPr>
        <sz val="11"/>
        <color theme="0"/>
        <rFont val="等线"/>
        <family val="3"/>
        <charset val="134"/>
        <scheme val="minor"/>
      </rPr>
      <t>阿勒泰 布尔津县</t>
    </r>
    <phoneticPr fontId="1" type="noConversion"/>
  </si>
  <si>
    <r>
      <t xml:space="preserve">新疆
</t>
    </r>
    <r>
      <rPr>
        <sz val="12"/>
        <color theme="0"/>
        <rFont val="等线"/>
        <family val="3"/>
        <charset val="134"/>
        <scheme val="minor"/>
      </rPr>
      <t>博州 博乐市</t>
    </r>
    <phoneticPr fontId="1" type="noConversion"/>
  </si>
  <si>
    <r>
      <t xml:space="preserve">吉林
</t>
    </r>
    <r>
      <rPr>
        <sz val="12"/>
        <color theme="0"/>
        <rFont val="等线"/>
        <family val="3"/>
        <charset val="134"/>
        <scheme val="minor"/>
      </rPr>
      <t>延边 安图县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</si>
  <si>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阿坝 九寨沟县</t>
    </r>
    <phoneticPr fontId="1" type="noConversion"/>
  </si>
  <si>
    <r>
      <t xml:space="preserve">湖南
</t>
    </r>
    <r>
      <rPr>
        <sz val="12"/>
        <color theme="0"/>
        <rFont val="等线"/>
        <family val="3"/>
        <charset val="134"/>
        <scheme val="minor"/>
      </rPr>
      <t>张家界 永定区</t>
    </r>
    <phoneticPr fontId="1" type="noConversion"/>
  </si>
  <si>
    <r>
      <t xml:space="preserve">安徽
</t>
    </r>
    <r>
      <rPr>
        <sz val="12"/>
        <color theme="0"/>
        <rFont val="等线"/>
        <family val="3"/>
        <charset val="134"/>
        <scheme val="minor"/>
      </rPr>
      <t>黄山市 黄山区</t>
    </r>
    <phoneticPr fontId="1" type="noConversion"/>
  </si>
  <si>
    <t>九寨沟</t>
    <phoneticPr fontId="1" type="noConversion"/>
  </si>
  <si>
    <t>张家界</t>
    <phoneticPr fontId="1" type="noConversion"/>
  </si>
  <si>
    <t>长白山天池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</si>
  <si>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</si>
  <si>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</si>
  <si>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</si>
  <si>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</si>
  <si>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</si>
  <si>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</si>
  <si>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</si>
  <si>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</si>
  <si>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</si>
  <si>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</si>
  <si>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</si>
  <si>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</si>
  <si>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Y</t>
  </si>
  <si>
    <t>新疆 阿勒泰 富蕴县</t>
  </si>
  <si>
    <t>47.17 °N</t>
  </si>
  <si>
    <t>3084m</t>
  </si>
  <si>
    <t>可可托海滑雪场
3100山顶</t>
    <phoneticPr fontId="1" type="noConversion"/>
  </si>
  <si>
    <t>新疆</t>
    <phoneticPr fontId="1" type="noConversion"/>
  </si>
  <si>
    <t>蒙古</t>
    <phoneticPr fontId="1" type="noConversion"/>
  </si>
  <si>
    <t>库都尔</t>
    <phoneticPr fontId="1" type="noConversion"/>
  </si>
  <si>
    <t>杜特</t>
    <phoneticPr fontId="1" type="noConversion"/>
  </si>
  <si>
    <t>ogi</t>
    <phoneticPr fontId="1" type="noConversion"/>
  </si>
  <si>
    <t>Y</t>
    <phoneticPr fontId="1" type="noConversion"/>
  </si>
  <si>
    <t>蒙古 科布多省</t>
    <phoneticPr fontId="1" type="noConversion"/>
  </si>
  <si>
    <t>Y</t>
    <phoneticPr fontId="1" type="noConversion"/>
  </si>
  <si>
    <t>Y</t>
    <phoneticPr fontId="1" type="noConversion"/>
  </si>
  <si>
    <t>青海 海北 祁连县</t>
    <phoneticPr fontId="1" type="noConversion"/>
  </si>
  <si>
    <t>野牛沟</t>
    <phoneticPr fontId="1" type="noConversion"/>
  </si>
  <si>
    <t>Y</t>
    <phoneticPr fontId="1" type="noConversion"/>
  </si>
  <si>
    <t xml:space="preserve">19.4	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</si>
</sst>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36"/>
      <color rgb="FF000000"/>
      <name val="Franklin Gothic Heavy"/>
      <family val="2"/>
    </font>
    <font>
      <b/>
      <sz val="36"/>
      <color rgb="FF0000FF"/>
      <name val="Franklin Gothic Heavy"/>
      <family val="2"/>
    </font>
  </fonts>
  <fills count="6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94801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9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5" fillId="0" borderId="0" xfId="0" applyFont="1">
      <alignment vertical="center"/>
    </xf>
    <xf numFmtId="0" fontId="12" fillId="3" borderId="7" xfId="0" applyFont="1" applyFill="1" applyBorder="1" applyAlignment="1">
      <alignment horizontal="right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2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28" fillId="14" borderId="7" xfId="0" applyFont="1" applyFill="1" applyBorder="1" applyAlignment="1">
      <alignment horizontal="center" vertical="center"/>
    </xf>
    <xf numFmtId="0" fontId="29" fillId="14" borderId="7" xfId="0" applyFont="1" applyFill="1" applyBorder="1" applyAlignment="1">
      <alignment horizontal="center" vertical="center"/>
    </xf>
    <xf numFmtId="0" fontId="14" fillId="15" borderId="17" xfId="0" applyFont="1" applyFill="1" applyBorder="1" applyAlignment="1">
      <alignment horizontal="center" vertical="center"/>
    </xf>
    <xf numFmtId="0" fontId="14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4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0" fillId="5" borderId="0" xfId="0" applyFont="1" applyFill="1">
      <alignment vertical="center"/>
    </xf>
    <xf numFmtId="0" fontId="26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31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3" fillId="17" borderId="16" xfId="0" applyFont="1" applyFill="1" applyBorder="1" applyAlignment="1">
      <alignment horizontal="center" vertical="center" wrapText="1"/>
    </xf>
    <xf numFmtId="0" fontId="33" fillId="4" borderId="7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0" fontId="34" fillId="2" borderId="16" xfId="0" applyFont="1" applyFill="1" applyBorder="1" applyAlignment="1">
      <alignment horizontal="center" vertical="center" wrapText="1"/>
    </xf>
    <xf numFmtId="0" fontId="33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4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4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3" fillId="3" borderId="16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37" fillId="7" borderId="22" xfId="0" applyFont="1" applyFill="1" applyBorder="1" applyAlignment="1">
      <alignment horizontal="left" vertical="center" shrinkToFit="1"/>
    </xf>
    <xf numFmtId="0" fontId="38" fillId="7" borderId="22" xfId="0" applyFont="1" applyFill="1" applyBorder="1" applyAlignment="1">
      <alignment horizontal="left" vertical="center" shrinkToFit="1"/>
    </xf>
    <xf numFmtId="0" fontId="14" fillId="3" borderId="22" xfId="0" applyFont="1" applyFill="1" applyBorder="1" applyAlignment="1">
      <alignment horizontal="left" vertical="center" shrinkToFit="1"/>
    </xf>
    <xf numFmtId="0" fontId="20" fillId="3" borderId="17" xfId="0" applyFont="1" applyFill="1" applyBorder="1" applyAlignment="1">
      <alignment horizontal="right" vertical="center" wrapText="1"/>
    </xf>
    <xf numFmtId="0" fontId="18" fillId="3" borderId="17" xfId="0" applyFont="1" applyFill="1" applyBorder="1" applyAlignment="1">
      <alignment horizontal="right" vertical="center" wrapText="1"/>
    </xf>
    <xf numFmtId="0" fontId="16" fillId="3" borderId="17" xfId="0" applyFont="1" applyFill="1" applyBorder="1" applyAlignment="1">
      <alignment horizontal="right" vertical="center" wrapText="1"/>
    </xf>
    <xf numFmtId="0" fontId="12" fillId="3" borderId="17" xfId="0" applyFont="1" applyFill="1" applyBorder="1" applyAlignment="1">
      <alignment horizontal="right" vertical="center" wrapText="1"/>
    </xf>
    <xf numFmtId="0" fontId="42" fillId="19" borderId="16" xfId="0" applyFont="1" applyFill="1" applyBorder="1" applyAlignment="1">
      <alignment horizontal="center" vertical="center" wrapText="1"/>
    </xf>
    <xf numFmtId="0" fontId="45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9" fillId="3" borderId="17" xfId="0" applyFont="1" applyFill="1" applyBorder="1" applyAlignment="1">
      <alignment horizontal="center" vertical="center" wrapText="1"/>
    </xf>
    <xf numFmtId="0" fontId="49" fillId="3" borderId="16" xfId="0" applyFont="1" applyFill="1" applyBorder="1" applyAlignment="1">
      <alignment horizontal="center" vertical="center" wrapText="1"/>
    </xf>
    <xf numFmtId="0" fontId="28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 wrapText="1"/>
    </xf>
    <xf numFmtId="178" fontId="44" fillId="3" borderId="23" xfId="0" applyNumberFormat="1" applyFont="1" applyFill="1" applyBorder="1" applyAlignment="1">
      <alignment horizontal="right" vertical="center" wrapText="1" indent="1"/>
    </xf>
    <xf numFmtId="178" fontId="44" fillId="3" borderId="23" xfId="0" applyNumberFormat="1" applyFont="1" applyFill="1" applyBorder="1" applyAlignment="1">
      <alignment horizontal="right" vertical="center" indent="1" shrinkToFit="1"/>
    </xf>
    <xf numFmtId="178" fontId="44" fillId="3" borderId="23" xfId="0" applyNumberFormat="1" applyFont="1" applyFill="1" applyBorder="1" applyAlignment="1">
      <alignment horizontal="right" vertical="center" wrapText="1" indent="1" shrinkToFit="1"/>
    </xf>
    <xf numFmtId="177" fontId="44" fillId="3" borderId="22" xfId="0" applyNumberFormat="1" applyFont="1" applyFill="1" applyBorder="1" applyAlignment="1">
      <alignment horizontal="right" vertical="center" wrapText="1"/>
    </xf>
    <xf numFmtId="0" fontId="21" fillId="3" borderId="16" xfId="0" applyFont="1" applyFill="1" applyBorder="1" applyAlignment="1">
      <alignment horizontal="right" vertical="center" indent="2"/>
    </xf>
    <xf numFmtId="0" fontId="11" fillId="3" borderId="16" xfId="0" applyFont="1" applyFill="1" applyBorder="1" applyAlignment="1">
      <alignment horizontal="left" vertical="center" indent="2"/>
    </xf>
    <xf numFmtId="0" fontId="51" fillId="3" borderId="21" xfId="0" applyFont="1" applyFill="1" applyBorder="1" applyAlignment="1">
      <alignment horizontal="center" vertical="center"/>
    </xf>
    <xf numFmtId="0" fontId="51" fillId="3" borderId="16" xfId="0" applyFont="1" applyFill="1" applyBorder="1" applyAlignment="1">
      <alignment horizontal="center" vertical="center"/>
    </xf>
    <xf numFmtId="0" fontId="47" fillId="3" borderId="7" xfId="0" applyFont="1" applyFill="1" applyBorder="1" applyAlignment="1">
      <alignment horizontal="center" vertical="center" wrapText="1"/>
    </xf>
    <xf numFmtId="176" fontId="53" fillId="3" borderId="8" xfId="0" applyNumberFormat="1" applyFont="1" applyFill="1" applyBorder="1" applyAlignment="1">
      <alignment horizontal="right" vertical="center" wrapText="1" indent="1"/>
    </xf>
    <xf numFmtId="0" fontId="10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right" vertical="center" wrapText="1"/>
    </xf>
    <xf numFmtId="0" fontId="14" fillId="7" borderId="22" xfId="0" applyFont="1" applyFill="1" applyBorder="1" applyAlignment="1">
      <alignment horizontal="left" vertical="center" shrinkToFit="1"/>
    </xf>
    <xf numFmtId="0" fontId="35" fillId="3" borderId="22" xfId="0" applyFont="1" applyFill="1" applyBorder="1" applyAlignment="1">
      <alignment horizontal="left" vertical="center" shrinkToFit="1"/>
    </xf>
    <xf numFmtId="176" fontId="52" fillId="3" borderId="26" xfId="0" applyNumberFormat="1" applyFont="1" applyFill="1" applyBorder="1" applyAlignment="1">
      <alignment horizontal="right" vertical="center"/>
    </xf>
    <xf numFmtId="0" fontId="4" fillId="4" borderId="6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right" vertical="center" wrapText="1"/>
    </xf>
    <xf numFmtId="176" fontId="13" fillId="3" borderId="8" xfId="0" applyNumberFormat="1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right" vertical="center" wrapText="1" indent="1"/>
    </xf>
    <xf numFmtId="0" fontId="13" fillId="3" borderId="9" xfId="0" applyFont="1" applyFill="1" applyBorder="1" applyAlignment="1">
      <alignment horizontal="right" vertical="center" indent="1" shrinkToFit="1"/>
    </xf>
    <xf numFmtId="176" fontId="58" fillId="3" borderId="8" xfId="0" applyNumberFormat="1" applyFont="1" applyFill="1" applyBorder="1" applyAlignment="1">
      <alignment horizontal="center" vertical="center" wrapText="1"/>
    </xf>
    <xf numFmtId="0" fontId="59" fillId="3" borderId="9" xfId="0" applyFont="1" applyFill="1" applyBorder="1" applyAlignment="1">
      <alignment horizontal="right" vertical="center" indent="1" shrinkToFit="1"/>
    </xf>
    <xf numFmtId="0" fontId="59" fillId="3" borderId="9" xfId="0" applyFont="1" applyFill="1" applyBorder="1" applyAlignment="1">
      <alignment horizontal="right" vertical="center" wrapText="1" indent="1"/>
    </xf>
    <xf numFmtId="0" fontId="60" fillId="3" borderId="4" xfId="0" applyFont="1" applyFill="1" applyBorder="1" applyAlignment="1">
      <alignment horizontal="center" vertical="center" wrapText="1"/>
    </xf>
    <xf numFmtId="0" fontId="60" fillId="3" borderId="4" xfId="0" applyFont="1" applyFill="1" applyBorder="1" applyAlignment="1">
      <alignment horizontal="center" vertical="center"/>
    </xf>
    <xf numFmtId="58" fontId="60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63" fillId="7" borderId="22" xfId="0" applyFont="1" applyFill="1" applyBorder="1" applyAlignment="1">
      <alignment horizontal="left" vertical="center" wrapText="1" shrinkToFit="1"/>
    </xf>
    <xf numFmtId="0" fontId="28" fillId="15" borderId="17" xfId="0" applyFont="1" applyFill="1" applyBorder="1" applyAlignment="1">
      <alignment horizontal="center" vertical="center"/>
    </xf>
    <xf numFmtId="176" fontId="65" fillId="21" borderId="26" xfId="0" applyNumberFormat="1" applyFont="1" applyFill="1" applyBorder="1" applyAlignment="1">
      <alignment horizontal="right" vertical="center"/>
    </xf>
    <xf numFmtId="176" fontId="64" fillId="22" borderId="26" xfId="0" applyNumberFormat="1" applyFont="1" applyFill="1" applyBorder="1" applyAlignment="1">
      <alignment horizontal="right" vertical="center"/>
    </xf>
    <xf numFmtId="176" fontId="64" fillId="23" borderId="26" xfId="0" applyNumberFormat="1" applyFont="1" applyFill="1" applyBorder="1" applyAlignment="1">
      <alignment horizontal="right" vertical="center"/>
    </xf>
    <xf numFmtId="176" fontId="64" fillId="24" borderId="26" xfId="0" applyNumberFormat="1" applyFont="1" applyFill="1" applyBorder="1" applyAlignment="1">
      <alignment horizontal="right" vertical="center"/>
    </xf>
    <xf numFmtId="176" fontId="64" fillId="25" borderId="26" xfId="0" applyNumberFormat="1" applyFont="1" applyFill="1" applyBorder="1" applyAlignment="1">
      <alignment horizontal="right" vertical="center"/>
    </xf>
    <xf numFmtId="176" fontId="66" fillId="26" borderId="26" xfId="0" applyNumberFormat="1" applyFont="1" applyFill="1" applyBorder="1" applyAlignment="1">
      <alignment horizontal="right" vertical="center"/>
    </xf>
    <xf numFmtId="176" fontId="66" fillId="27" borderId="26" xfId="0" applyNumberFormat="1" applyFont="1" applyFill="1" applyBorder="1" applyAlignment="1">
      <alignment horizontal="right" vertical="center"/>
    </xf>
    <xf numFmtId="176" fontId="66" fillId="28" borderId="26" xfId="0" applyNumberFormat="1" applyFont="1" applyFill="1" applyBorder="1" applyAlignment="1">
      <alignment horizontal="right" vertical="center"/>
    </xf>
    <xf numFmtId="176" fontId="66" fillId="29" borderId="26" xfId="0" applyNumberFormat="1" applyFont="1" applyFill="1" applyBorder="1" applyAlignment="1">
      <alignment horizontal="right" vertical="center"/>
    </xf>
    <xf numFmtId="176" fontId="66" fillId="30" borderId="26" xfId="0" applyNumberFormat="1" applyFont="1" applyFill="1" applyBorder="1" applyAlignment="1">
      <alignment horizontal="right" vertical="center"/>
    </xf>
    <xf numFmtId="176" fontId="66" fillId="31" borderId="26" xfId="0" applyNumberFormat="1" applyFont="1" applyFill="1" applyBorder="1" applyAlignment="1">
      <alignment horizontal="right" vertical="center"/>
    </xf>
    <xf numFmtId="176" fontId="66" fillId="32" borderId="26" xfId="0" applyNumberFormat="1" applyFont="1" applyFill="1" applyBorder="1" applyAlignment="1">
      <alignment horizontal="right" vertical="center"/>
    </xf>
    <xf numFmtId="176" fontId="66" fillId="33" borderId="26" xfId="0" applyNumberFormat="1" applyFont="1" applyFill="1" applyBorder="1" applyAlignment="1">
      <alignment horizontal="right" vertical="center"/>
    </xf>
    <xf numFmtId="176" fontId="66" fillId="34" borderId="26" xfId="0" applyNumberFormat="1" applyFont="1" applyFill="1" applyBorder="1" applyAlignment="1">
      <alignment horizontal="right" vertical="center"/>
    </xf>
    <xf numFmtId="176" fontId="66" fillId="35" borderId="26" xfId="0" applyNumberFormat="1" applyFont="1" applyFill="1" applyBorder="1" applyAlignment="1">
      <alignment horizontal="right" vertical="center"/>
    </xf>
    <xf numFmtId="176" fontId="66" fillId="36" borderId="26" xfId="0" applyNumberFormat="1" applyFont="1" applyFill="1" applyBorder="1" applyAlignment="1">
      <alignment horizontal="right" vertical="center"/>
    </xf>
    <xf numFmtId="176" fontId="66" fillId="37" borderId="26" xfId="0" applyNumberFormat="1" applyFont="1" applyFill="1" applyBorder="1" applyAlignment="1">
      <alignment horizontal="right" vertical="center"/>
    </xf>
    <xf numFmtId="176" fontId="66" fillId="38" borderId="26" xfId="0" applyNumberFormat="1" applyFont="1" applyFill="1" applyBorder="1" applyAlignment="1">
      <alignment horizontal="right" vertical="center"/>
    </xf>
    <xf numFmtId="176" fontId="66" fillId="39" borderId="26" xfId="0" applyNumberFormat="1" applyFont="1" applyFill="1" applyBorder="1" applyAlignment="1">
      <alignment horizontal="right" vertical="center"/>
    </xf>
    <xf numFmtId="176" fontId="66" fillId="40" borderId="26" xfId="0" applyNumberFormat="1" applyFont="1" applyFill="1" applyBorder="1" applyAlignment="1">
      <alignment horizontal="right" vertical="center"/>
    </xf>
    <xf numFmtId="176" fontId="66" fillId="41" borderId="26" xfId="0" applyNumberFormat="1" applyFont="1" applyFill="1" applyBorder="1" applyAlignment="1">
      <alignment horizontal="right" vertical="center"/>
    </xf>
    <xf numFmtId="176" fontId="66" fillId="42" borderId="26" xfId="0" applyNumberFormat="1" applyFont="1" applyFill="1" applyBorder="1" applyAlignment="1">
      <alignment horizontal="right" vertical="center"/>
    </xf>
    <xf numFmtId="176" fontId="66" fillId="43" borderId="26" xfId="0" applyNumberFormat="1" applyFont="1" applyFill="1" applyBorder="1" applyAlignment="1">
      <alignment horizontal="right" vertical="center"/>
    </xf>
    <xf numFmtId="176" fontId="66" fillId="44" borderId="26" xfId="0" applyNumberFormat="1" applyFont="1" applyFill="1" applyBorder="1" applyAlignment="1">
      <alignment horizontal="right" vertical="center"/>
    </xf>
    <xf numFmtId="176" fontId="66" fillId="45" borderId="26" xfId="0" applyNumberFormat="1" applyFont="1" applyFill="1" applyBorder="1" applyAlignment="1">
      <alignment horizontal="right" vertical="center"/>
    </xf>
    <xf numFmtId="176" fontId="66" fillId="46" borderId="26" xfId="0" applyNumberFormat="1" applyFont="1" applyFill="1" applyBorder="1" applyAlignment="1">
      <alignment horizontal="right" vertical="center"/>
    </xf>
    <xf numFmtId="176" fontId="66" fillId="47" borderId="26" xfId="0" applyNumberFormat="1" applyFont="1" applyFill="1" applyBorder="1" applyAlignment="1">
      <alignment horizontal="right" vertical="center"/>
    </xf>
    <xf numFmtId="176" fontId="66" fillId="48" borderId="26" xfId="0" applyNumberFormat="1" applyFont="1" applyFill="1" applyBorder="1" applyAlignment="1">
      <alignment horizontal="right" vertical="center"/>
    </xf>
    <xf numFmtId="176" fontId="66" fillId="49" borderId="26" xfId="0" applyNumberFormat="1" applyFont="1" applyFill="1" applyBorder="1" applyAlignment="1">
      <alignment horizontal="right" vertical="center"/>
    </xf>
    <xf numFmtId="176" fontId="67" fillId="49" borderId="26" xfId="0" applyNumberFormat="1" applyFont="1" applyFill="1" applyBorder="1" applyAlignment="1">
      <alignment horizontal="right" vertical="center"/>
    </xf>
    <xf numFmtId="176" fontId="66" fillId="50" borderId="26" xfId="0" applyNumberFormat="1" applyFont="1" applyFill="1" applyBorder="1" applyAlignment="1">
      <alignment horizontal="right" vertical="center"/>
    </xf>
    <xf numFmtId="176" fontId="65" fillId="25" borderId="26" xfId="0" applyNumberFormat="1" applyFont="1" applyFill="1" applyBorder="1" applyAlignment="1">
      <alignment horizontal="right" vertical="center"/>
    </xf>
    <xf numFmtId="176" fontId="66" fillId="51" borderId="26" xfId="0" applyNumberFormat="1" applyFont="1" applyFill="1" applyBorder="1" applyAlignment="1">
      <alignment horizontal="right" vertical="center"/>
    </xf>
    <xf numFmtId="176" fontId="66" fillId="52" borderId="26" xfId="0" applyNumberFormat="1" applyFont="1" applyFill="1" applyBorder="1" applyAlignment="1">
      <alignment horizontal="right" vertical="center"/>
    </xf>
    <xf numFmtId="176" fontId="66" fillId="53" borderId="26" xfId="0" applyNumberFormat="1" applyFont="1" applyFill="1" applyBorder="1" applyAlignment="1">
      <alignment horizontal="right" vertical="center"/>
    </xf>
    <xf numFmtId="176" fontId="66" fillId="54" borderId="26" xfId="0" applyNumberFormat="1" applyFont="1" applyFill="1" applyBorder="1" applyAlignment="1">
      <alignment horizontal="right" vertical="center"/>
    </xf>
    <xf numFmtId="176" fontId="66" fillId="55" borderId="26" xfId="0" applyNumberFormat="1" applyFont="1" applyFill="1" applyBorder="1" applyAlignment="1">
      <alignment horizontal="right" vertical="center"/>
    </xf>
    <xf numFmtId="176" fontId="66" fillId="56" borderId="26" xfId="0" applyNumberFormat="1" applyFont="1" applyFill="1" applyBorder="1" applyAlignment="1">
      <alignment horizontal="right" vertical="center"/>
    </xf>
    <xf numFmtId="176" fontId="66" fillId="57" borderId="26" xfId="0" applyNumberFormat="1" applyFont="1" applyFill="1" applyBorder="1" applyAlignment="1">
      <alignment horizontal="right" vertical="center"/>
    </xf>
    <xf numFmtId="176" fontId="66" fillId="58" borderId="26" xfId="0" applyNumberFormat="1" applyFont="1" applyFill="1" applyBorder="1" applyAlignment="1">
      <alignment horizontal="right" vertical="center"/>
    </xf>
    <xf numFmtId="176" fontId="66" fillId="59" borderId="26" xfId="0" applyNumberFormat="1" applyFont="1" applyFill="1" applyBorder="1" applyAlignment="1">
      <alignment horizontal="right" vertical="center"/>
    </xf>
    <xf numFmtId="176" fontId="64" fillId="60" borderId="26" xfId="0" applyNumberFormat="1" applyFont="1" applyFill="1" applyBorder="1" applyAlignment="1">
      <alignment horizontal="right" vertical="center"/>
    </xf>
    <xf numFmtId="176" fontId="64" fillId="61" borderId="26" xfId="0" applyNumberFormat="1" applyFont="1" applyFill="1" applyBorder="1" applyAlignment="1">
      <alignment horizontal="right" vertical="center"/>
    </xf>
    <xf numFmtId="176" fontId="66" fillId="62" borderId="26" xfId="0" applyNumberFormat="1" applyFont="1" applyFill="1" applyBorder="1" applyAlignment="1">
      <alignment horizontal="right" vertical="center"/>
    </xf>
    <xf numFmtId="176" fontId="64" fillId="63" borderId="26" xfId="0" applyNumberFormat="1" applyFont="1" applyFill="1" applyBorder="1" applyAlignment="1">
      <alignment horizontal="right" vertical="center"/>
    </xf>
    <xf numFmtId="176" fontId="65" fillId="63" borderId="26" xfId="0" applyNumberFormat="1" applyFont="1" applyFill="1" applyBorder="1" applyAlignment="1">
      <alignment horizontal="right" vertical="center"/>
    </xf>
    <xf numFmtId="176" fontId="68" fillId="41" borderId="8" xfId="0" applyNumberFormat="1" applyFont="1" applyFill="1" applyBorder="1" applyAlignment="1">
      <alignment horizontal="right" vertical="center"/>
    </xf>
    <xf numFmtId="176" fontId="68" fillId="45" borderId="8" xfId="0" applyNumberFormat="1" applyFont="1" applyFill="1" applyBorder="1" applyAlignment="1">
      <alignment horizontal="right" vertical="center"/>
    </xf>
    <xf numFmtId="176" fontId="68" fillId="46" borderId="8" xfId="0" applyNumberFormat="1" applyFont="1" applyFill="1" applyBorder="1" applyAlignment="1">
      <alignment horizontal="right" vertical="center"/>
    </xf>
    <xf numFmtId="176" fontId="69" fillId="48" borderId="8" xfId="0" applyNumberFormat="1" applyFont="1" applyFill="1" applyBorder="1" applyAlignment="1">
      <alignment horizontal="right" vertical="center"/>
    </xf>
    <xf numFmtId="176" fontId="68" fillId="38" borderId="8" xfId="0" applyNumberFormat="1" applyFont="1" applyFill="1" applyBorder="1" applyAlignment="1">
      <alignment horizontal="right" vertical="center"/>
    </xf>
    <xf numFmtId="176" fontId="68" fillId="31" borderId="8" xfId="0" applyNumberFormat="1" applyFont="1" applyFill="1" applyBorder="1" applyAlignment="1">
      <alignment horizontal="right" vertical="center"/>
    </xf>
    <xf numFmtId="176" fontId="69" fillId="29" borderId="8" xfId="0" applyNumberFormat="1" applyFont="1" applyFill="1" applyBorder="1" applyAlignment="1">
      <alignment horizontal="right" vertical="center"/>
    </xf>
    <xf numFmtId="176" fontId="68" fillId="32" borderId="8" xfId="0" applyNumberFormat="1" applyFont="1" applyFill="1" applyBorder="1" applyAlignment="1">
      <alignment horizontal="right" vertical="center"/>
    </xf>
    <xf numFmtId="176" fontId="68" fillId="30" borderId="8" xfId="0" applyNumberFormat="1" applyFont="1" applyFill="1" applyBorder="1" applyAlignment="1">
      <alignment horizontal="right" vertical="center"/>
    </xf>
    <xf numFmtId="176" fontId="68" fillId="40" borderId="8" xfId="0" applyNumberFormat="1" applyFont="1" applyFill="1" applyBorder="1" applyAlignment="1">
      <alignment horizontal="right" vertical="center"/>
    </xf>
    <xf numFmtId="176" fontId="68" fillId="57" borderId="8" xfId="0" applyNumberFormat="1" applyFont="1" applyFill="1" applyBorder="1" applyAlignment="1">
      <alignment horizontal="right" vertical="center"/>
    </xf>
    <xf numFmtId="176" fontId="68" fillId="59" borderId="8" xfId="0" applyNumberFormat="1" applyFont="1" applyFill="1" applyBorder="1" applyAlignment="1">
      <alignment horizontal="right" vertical="center"/>
    </xf>
    <xf numFmtId="176" fontId="68" fillId="56" borderId="8" xfId="0" applyNumberFormat="1" applyFont="1" applyFill="1" applyBorder="1" applyAlignment="1">
      <alignment horizontal="right" vertical="center"/>
    </xf>
    <xf numFmtId="176" fontId="69" fillId="62" borderId="8" xfId="0" applyNumberFormat="1" applyFont="1" applyFill="1" applyBorder="1" applyAlignment="1">
      <alignment horizontal="right" vertical="center"/>
    </xf>
    <xf numFmtId="176" fontId="68" fillId="58" borderId="8" xfId="0" applyNumberFormat="1" applyFont="1" applyFill="1" applyBorder="1" applyAlignment="1">
      <alignment horizontal="right" vertical="center"/>
    </xf>
    <xf numFmtId="176" fontId="69" fillId="34" borderId="8" xfId="0" applyNumberFormat="1" applyFont="1" applyFill="1" applyBorder="1" applyAlignment="1">
      <alignment horizontal="right" vertical="center"/>
    </xf>
    <xf numFmtId="176" fontId="68" fillId="52" borderId="8" xfId="0" applyNumberFormat="1" applyFont="1" applyFill="1" applyBorder="1" applyAlignment="1">
      <alignment horizontal="right" vertical="center"/>
    </xf>
    <xf numFmtId="176" fontId="68" fillId="53" borderId="8" xfId="0" applyNumberFormat="1" applyFont="1" applyFill="1" applyBorder="1" applyAlignment="1">
      <alignment horizontal="right" vertical="center"/>
    </xf>
    <xf numFmtId="176" fontId="68" fillId="42" borderId="8" xfId="0" applyNumberFormat="1" applyFont="1" applyFill="1" applyBorder="1" applyAlignment="1">
      <alignment horizontal="right" vertical="center"/>
    </xf>
    <xf numFmtId="0" fontId="48" fillId="6" borderId="24" xfId="0" applyFont="1" applyFill="1" applyBorder="1" applyAlignment="1">
      <alignment horizontal="center" vertical="center"/>
    </xf>
    <xf numFmtId="0" fontId="48" fillId="6" borderId="0" xfId="0" applyFont="1" applyFill="1" applyAlignment="1">
      <alignment horizontal="center" vertical="center"/>
    </xf>
    <xf numFmtId="0" fontId="48" fillId="6" borderId="25" xfId="0" applyFont="1" applyFill="1" applyBorder="1" applyAlignment="1">
      <alignment horizontal="center" vertical="center"/>
    </xf>
    <xf numFmtId="58" fontId="54" fillId="0" borderId="17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58" fontId="56" fillId="2" borderId="17" xfId="0" applyNumberFormat="1" applyFont="1" applyFill="1" applyBorder="1" applyAlignment="1">
      <alignment horizontal="center" vertical="center"/>
    </xf>
    <xf numFmtId="58" fontId="56" fillId="2" borderId="22" xfId="0" applyNumberFormat="1" applyFont="1" applyFill="1" applyBorder="1" applyAlignment="1">
      <alignment horizontal="center" vertical="center"/>
    </xf>
    <xf numFmtId="0" fontId="50" fillId="3" borderId="22" xfId="0" applyFont="1" applyFill="1" applyBorder="1" applyAlignment="1">
      <alignment horizontal="center" vertical="center"/>
    </xf>
    <xf numFmtId="0" fontId="50" fillId="3" borderId="23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61" fillId="5" borderId="13" xfId="0" applyNumberFormat="1" applyFont="1" applyFill="1" applyBorder="1" applyAlignment="1">
      <alignment horizontal="center" vertical="center"/>
    </xf>
    <xf numFmtId="58" fontId="61" fillId="5" borderId="0" xfId="0" applyNumberFormat="1" applyFont="1" applyFill="1" applyAlignment="1">
      <alignment horizontal="center" vertical="center"/>
    </xf>
    <xf numFmtId="0" fontId="57" fillId="3" borderId="11" xfId="0" applyFont="1" applyFill="1" applyBorder="1" applyAlignment="1">
      <alignment horizontal="center" vertical="center" wrapText="1"/>
    </xf>
    <xf numFmtId="0" fontId="57" fillId="3" borderId="3" xfId="0" applyFont="1" applyFill="1" applyBorder="1" applyAlignment="1">
      <alignment horizontal="center" vertical="center" wrapText="1"/>
    </xf>
    <xf numFmtId="0" fontId="57" fillId="3" borderId="12" xfId="0" applyFont="1" applyFill="1" applyBorder="1" applyAlignment="1">
      <alignment horizontal="center" vertical="center" wrapText="1"/>
    </xf>
    <xf numFmtId="0" fontId="5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V203"/>
  <sheetViews>
    <sheetView tabSelected="1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00" ht="19.5" customHeight="1" x14ac:dyDescent="0.4">
      <c r="A1" s="171" t="s">
        <v>114</v>
      </c>
      <c r="B1" s="172"/>
      <c r="C1" s="172"/>
      <c r="D1" s="172"/>
      <c r="E1" s="173"/>
      <c r="F1" s="176" t="s">
        <v>0</v>
      </c>
      <c r="G1" s="177"/>
      <c r="H1" s="178" t="s">
        <v>375</v>
      </c>
      <c r="I1" s="178"/>
      <c r="J1" s="178"/>
      <c r="K1" s="179"/>
      <c r="O1" s="6"/>
      <c r="P1" s="29" t="s">
        <v>137</v>
      </c>
      <c r="R1" t="s">
        <v>145</v>
      </c>
      <c r="U1" s="68"/>
      <c r="V1" s="69"/>
      <c r="W1" s="69"/>
    </row>
    <row r="2" spans="1:100" ht="29.35" customHeight="1" thickBot="1" x14ac:dyDescent="0.45">
      <c r="A2" s="171"/>
      <c r="B2" s="172"/>
      <c r="C2" s="172"/>
      <c r="D2" s="172"/>
      <c r="E2" s="173"/>
      <c r="F2" s="174">
        <v>45914</v>
      </c>
      <c r="G2" s="175"/>
      <c r="H2" s="178"/>
      <c r="I2" s="178"/>
      <c r="J2" s="178"/>
      <c r="K2" s="179"/>
      <c r="L2" s="22"/>
      <c r="M2" s="22" t="s">
        <v>136</v>
      </c>
      <c r="N2" s="22"/>
      <c r="O2" s="22">
        <v>1</v>
      </c>
      <c r="P2" s="22">
        <v>2</v>
      </c>
      <c r="Q2" s="22">
        <v>3</v>
      </c>
      <c r="R2" s="28" t="s">
        <v>144</v>
      </c>
      <c r="S2" s="28" t="s">
        <v>143</v>
      </c>
      <c r="U2" s="68"/>
      <c r="V2" s="69"/>
      <c r="W2" s="69"/>
    </row>
    <row r="3" spans="1:100" ht="31.5" customHeight="1" thickBot="1" x14ac:dyDescent="0.45">
      <c r="A3" s="72" t="s">
        <v>93</v>
      </c>
      <c r="B3" s="70" t="s">
        <v>117</v>
      </c>
      <c r="C3" s="71" t="s">
        <v>112</v>
      </c>
      <c r="D3" s="52" t="s">
        <v>129</v>
      </c>
      <c r="E3" s="83" t="s">
        <v>101</v>
      </c>
      <c r="F3" s="79" t="s">
        <v>1</v>
      </c>
      <c r="G3" s="80" t="s">
        <v>2</v>
      </c>
      <c r="H3" s="66" t="s">
        <v>224</v>
      </c>
      <c r="I3" s="66" t="s">
        <v>225</v>
      </c>
      <c r="J3" s="74" t="s">
        <v>185</v>
      </c>
      <c r="K3" s="73" t="s">
        <v>186</v>
      </c>
      <c r="L3" s="36" t="s">
        <v>146</v>
      </c>
      <c r="M3" s="37" t="s">
        <v>138</v>
      </c>
      <c r="N3" s="36" t="s">
        <v>105</v>
      </c>
      <c r="O3" s="38" t="s">
        <v>131</v>
      </c>
      <c r="P3" s="39" t="s">
        <v>135</v>
      </c>
      <c r="Q3" s="40" t="s">
        <v>130</v>
      </c>
      <c r="R3" s="40" t="s">
        <v>132</v>
      </c>
      <c r="S3" s="41" t="s">
        <v>133</v>
      </c>
      <c r="U3" s="43" t="s">
        <v>116</v>
      </c>
      <c r="V3" s="44" t="s">
        <v>109</v>
      </c>
      <c r="W3" s="44" t="s">
        <v>34</v>
      </c>
      <c r="X3" s="44" t="s">
        <v>110</v>
      </c>
      <c r="Y3" s="44" t="s">
        <v>126</v>
      </c>
      <c r="Z3" s="44" t="s">
        <v>4</v>
      </c>
      <c r="AA3" s="44" t="s">
        <v>35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103</v>
      </c>
    </row>
    <row r="4" spans="1:100" ht="34.5" customHeight="1" thickBot="1" x14ac:dyDescent="0.45">
      <c r="A4" s="55">
        <v>1</v>
      </c>
      <c r="B4" s="86">
        <v>0</v>
      </c>
      <c r="C4" s="81"/>
      <c r="D4" s="56" t="s">
        <v>229</v>
      </c>
      <c r="E4" s="14"/>
      <c r="F4" s="62" t="s">
        <v>153</v>
      </c>
      <c r="G4" s="57" t="s">
        <v>232</v>
      </c>
      <c r="H4" s="120">
        <v>9.4</v>
      </c>
      <c r="I4" s="138">
        <v>14.9</v>
      </c>
      <c r="J4" s="78">
        <v>50.476387000000003</v>
      </c>
      <c r="K4" s="75">
        <v>799</v>
      </c>
      <c r="L4" s="31">
        <v>1</v>
      </c>
      <c r="M4" s="15">
        <v>1</v>
      </c>
      <c r="N4" s="34" t="s">
        <v>97</v>
      </c>
      <c r="O4" s="18"/>
      <c r="P4" s="18"/>
      <c r="Q4" s="26">
        <v>1</v>
      </c>
      <c r="R4" s="19"/>
      <c r="S4" s="20"/>
      <c r="U4" s="45" t="s">
        <v>107</v>
      </c>
      <c r="V4" s="46" cm="1">
        <f t="array" ref="V4:CV4">TRANSPOSE(H4:H82)</f>
        <v>9.4</v>
      </c>
      <c r="W4" s="46">
        <v>7.5</v>
      </c>
      <c r="X4" s="46">
        <v>2.2000000000000002</v>
      </c>
      <c r="Y4" s="46">
        <v>-4.8</v>
      </c>
      <c r="Z4" s="46">
        <v>-3.6</v>
      </c>
      <c r="AA4" s="46">
        <v>-0.6</v>
      </c>
      <c r="AB4" s="46">
        <v>1</v>
      </c>
      <c r="AC4" s="46">
        <v>5.6</v>
      </c>
      <c r="AD4" s="46">
        <v>-0.6</v>
      </c>
      <c r="AE4" s="46">
        <v>-3.8</v>
      </c>
      <c r="AF4" s="46">
        <v>-2.8</v>
      </c>
      <c r="AG4" s="46">
        <v>-1</v>
      </c>
      <c r="AH4" s="46">
        <v>1.7</v>
      </c>
      <c r="AI4">
        <v>-2.5</v>
      </c>
      <c r="AJ4">
        <v>0</v>
      </c>
      <c r="AK4">
        <v>-4.2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-4.5999999999999996</v>
      </c>
      <c r="BT4">
        <v>-4.2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-3.8</v>
      </c>
      <c r="CB4">
        <v>0</v>
      </c>
      <c r="CC4">
        <v>0</v>
      </c>
      <c r="CD4">
        <v>-0.4</v>
      </c>
      <c r="CE4">
        <v>0</v>
      </c>
      <c r="CF4">
        <v>0</v>
      </c>
      <c r="CG4">
        <v>0</v>
      </c>
      <c r="CH4">
        <v>-3</v>
      </c>
      <c r="CI4">
        <v>-0.8</v>
      </c>
      <c r="CJ4">
        <v>0</v>
      </c>
      <c r="CK4">
        <v>-2.1</v>
      </c>
      <c r="CL4">
        <v>0</v>
      </c>
      <c r="CM4">
        <v>8</v>
      </c>
      <c r="CN4">
        <v>0</v>
      </c>
      <c r="CO4">
        <v>2.2000000000000002</v>
      </c>
      <c r="CP4">
        <v>0</v>
      </c>
      <c r="CQ4">
        <v>0</v>
      </c>
      <c r="CR4">
        <v>0</v>
      </c>
      <c r="CS4">
        <v>18.100000000000001</v>
      </c>
      <c r="CT4">
        <v>16.600000000000001</v>
      </c>
      <c r="CU4">
        <v>18.8</v>
      </c>
      <c r="CV4">
        <v>15.2</v>
      </c>
    </row>
    <row r="5" spans="1:100" ht="34.5" customHeight="1" thickBot="1" x14ac:dyDescent="0.45">
      <c r="A5" s="53">
        <v>2</v>
      </c>
      <c r="B5" s="87">
        <v>0</v>
      </c>
      <c r="C5" s="81"/>
      <c r="D5" s="56" t="s">
        <v>229</v>
      </c>
      <c r="E5" s="14"/>
      <c r="F5" s="62" t="s">
        <v>153</v>
      </c>
      <c r="G5" s="67" t="s">
        <v>231</v>
      </c>
      <c r="H5" s="118">
        <v>7.5</v>
      </c>
      <c r="I5" s="138">
        <v>14.6</v>
      </c>
      <c r="J5" s="78">
        <v>49.905966669999998</v>
      </c>
      <c r="K5" s="76">
        <v>997</v>
      </c>
      <c r="L5" s="31">
        <v>1</v>
      </c>
      <c r="M5" s="15">
        <v>1</v>
      </c>
      <c r="N5" s="34" t="s">
        <v>97</v>
      </c>
      <c r="O5" s="18"/>
      <c r="P5" s="18"/>
      <c r="Q5" s="26">
        <v>1</v>
      </c>
      <c r="R5" s="19"/>
      <c r="S5" s="20"/>
      <c r="U5" s="45" t="s">
        <v>108</v>
      </c>
      <c r="V5" s="46" cm="1">
        <f t="array" ref="V5:CV5">TRANSPOSE(I4:I82)</f>
        <v>14.9</v>
      </c>
      <c r="W5" s="46">
        <v>14.6</v>
      </c>
      <c r="X5" s="46">
        <v>13.4</v>
      </c>
      <c r="Y5" s="46">
        <v>11.8</v>
      </c>
      <c r="Z5" s="46">
        <v>12</v>
      </c>
      <c r="AA5" s="46">
        <v>12.6</v>
      </c>
      <c r="AB5" s="46">
        <v>16.899999999999999</v>
      </c>
      <c r="AC5" s="46">
        <v>15</v>
      </c>
      <c r="AD5" s="46">
        <v>12.7</v>
      </c>
      <c r="AE5" s="46">
        <v>8.1999999999999993</v>
      </c>
      <c r="AF5" s="46">
        <v>13.6</v>
      </c>
      <c r="AG5" s="46">
        <v>11.7</v>
      </c>
      <c r="AH5" s="46">
        <v>14.4</v>
      </c>
      <c r="AI5">
        <v>11.4</v>
      </c>
      <c r="AJ5">
        <v>0</v>
      </c>
      <c r="AK5">
        <v>9.6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11.3</v>
      </c>
      <c r="BT5">
        <v>11.7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12.9</v>
      </c>
      <c r="CB5">
        <v>0</v>
      </c>
      <c r="CC5">
        <v>0</v>
      </c>
      <c r="CD5">
        <v>18.8</v>
      </c>
      <c r="CE5">
        <v>0</v>
      </c>
      <c r="CF5">
        <v>0</v>
      </c>
      <c r="CG5">
        <v>0</v>
      </c>
      <c r="CH5">
        <v>15.8</v>
      </c>
      <c r="CI5">
        <v>14.1</v>
      </c>
      <c r="CJ5">
        <v>0</v>
      </c>
      <c r="CK5">
        <v>18.3</v>
      </c>
      <c r="CL5">
        <v>0</v>
      </c>
      <c r="CM5">
        <v>16</v>
      </c>
      <c r="CN5">
        <v>0</v>
      </c>
      <c r="CO5">
        <v>10.9</v>
      </c>
      <c r="CP5">
        <v>0</v>
      </c>
      <c r="CQ5">
        <v>0</v>
      </c>
      <c r="CR5">
        <v>0</v>
      </c>
      <c r="CS5">
        <v>29.6</v>
      </c>
      <c r="CT5">
        <v>28.2</v>
      </c>
      <c r="CU5">
        <v>26.4</v>
      </c>
      <c r="CV5">
        <v>27.5</v>
      </c>
    </row>
    <row r="6" spans="1:100" ht="34.5" customHeight="1" thickBot="1" x14ac:dyDescent="0.45">
      <c r="A6" s="53">
        <v>3</v>
      </c>
      <c r="B6" s="87">
        <v>0</v>
      </c>
      <c r="C6" s="81"/>
      <c r="D6" s="56" t="s">
        <v>229</v>
      </c>
      <c r="E6" s="14"/>
      <c r="F6" s="62" t="s">
        <v>154</v>
      </c>
      <c r="G6" s="57" t="s">
        <v>187</v>
      </c>
      <c r="H6" s="113">
        <v>2.2000000000000002</v>
      </c>
      <c r="I6" s="139">
        <v>13.4</v>
      </c>
      <c r="J6" s="78">
        <v>49.655124999999998</v>
      </c>
      <c r="K6" s="76">
        <v>1286</v>
      </c>
      <c r="L6" s="31">
        <v>1</v>
      </c>
      <c r="M6" s="15">
        <v>1</v>
      </c>
      <c r="N6" s="34" t="s">
        <v>97</v>
      </c>
      <c r="O6" s="18"/>
      <c r="P6" s="18"/>
      <c r="Q6" s="26">
        <v>1</v>
      </c>
      <c r="R6" s="19"/>
      <c r="S6" s="20"/>
      <c r="U6" s="47"/>
      <c r="V6" s="48"/>
      <c r="W6" s="48"/>
    </row>
    <row r="7" spans="1:100" ht="34.5" customHeight="1" thickBot="1" x14ac:dyDescent="0.45">
      <c r="A7" s="53">
        <v>4</v>
      </c>
      <c r="B7" s="87">
        <v>0</v>
      </c>
      <c r="C7" s="81"/>
      <c r="D7" s="56" t="s">
        <v>229</v>
      </c>
      <c r="E7" s="14"/>
      <c r="F7" s="62" t="s">
        <v>154</v>
      </c>
      <c r="G7" s="57" t="s">
        <v>188</v>
      </c>
      <c r="H7" s="107">
        <v>-4.8</v>
      </c>
      <c r="I7" s="136">
        <v>11.8</v>
      </c>
      <c r="J7" s="78">
        <v>48.646230559999999</v>
      </c>
      <c r="K7" s="75">
        <v>1811</v>
      </c>
      <c r="L7" s="31">
        <v>1</v>
      </c>
      <c r="M7" s="15">
        <v>1</v>
      </c>
      <c r="N7" s="34" t="s">
        <v>97</v>
      </c>
      <c r="O7" s="18"/>
      <c r="P7" s="18"/>
      <c r="Q7" s="26">
        <v>1</v>
      </c>
      <c r="R7" s="19"/>
      <c r="S7" s="20"/>
      <c r="U7" s="47"/>
      <c r="V7" s="48"/>
      <c r="W7" s="48"/>
    </row>
    <row r="8" spans="1:100" ht="34.5" customHeight="1" thickBot="1" x14ac:dyDescent="0.45">
      <c r="A8" s="53">
        <v>5</v>
      </c>
      <c r="B8" s="87">
        <v>0</v>
      </c>
      <c r="C8" s="81"/>
      <c r="D8" s="56" t="s">
        <v>229</v>
      </c>
      <c r="E8" s="14"/>
      <c r="F8" s="62" t="s">
        <v>154</v>
      </c>
      <c r="G8" s="57" t="s">
        <v>4</v>
      </c>
      <c r="H8" s="108">
        <v>-3.6</v>
      </c>
      <c r="I8" s="122">
        <v>12</v>
      </c>
      <c r="J8" s="78">
        <v>47.209609999999998</v>
      </c>
      <c r="K8" s="75">
        <v>2156</v>
      </c>
      <c r="L8" s="31">
        <v>1</v>
      </c>
      <c r="M8" s="15">
        <v>1</v>
      </c>
      <c r="N8" s="34" t="s">
        <v>97</v>
      </c>
      <c r="O8" s="18"/>
      <c r="P8" s="18"/>
      <c r="Q8" s="26">
        <v>1</v>
      </c>
      <c r="R8" s="19"/>
      <c r="S8" s="20"/>
      <c r="U8" s="47"/>
      <c r="V8" s="48"/>
      <c r="W8" s="48"/>
    </row>
    <row r="9" spans="1:100" ht="34.5" customHeight="1" thickBot="1" x14ac:dyDescent="0.45">
      <c r="A9" s="53">
        <v>6</v>
      </c>
      <c r="B9" s="87">
        <v>0</v>
      </c>
      <c r="C9" s="81"/>
      <c r="D9" s="56" t="s">
        <v>229</v>
      </c>
      <c r="E9" s="14"/>
      <c r="F9" s="62" t="s">
        <v>155</v>
      </c>
      <c r="G9" s="57" t="s">
        <v>35</v>
      </c>
      <c r="H9" s="110">
        <v>-0.6</v>
      </c>
      <c r="I9" s="122">
        <v>12.6</v>
      </c>
      <c r="J9" s="78">
        <v>51.356372219999997</v>
      </c>
      <c r="K9" s="75">
        <v>1546</v>
      </c>
      <c r="L9" s="31">
        <v>1</v>
      </c>
      <c r="M9" s="15">
        <v>1</v>
      </c>
      <c r="N9" s="34" t="s">
        <v>97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00" ht="34.5" customHeight="1" thickBot="1" x14ac:dyDescent="0.45">
      <c r="A10" s="53">
        <v>7</v>
      </c>
      <c r="B10" s="87">
        <v>0</v>
      </c>
      <c r="C10" s="81"/>
      <c r="D10" s="56" t="s">
        <v>229</v>
      </c>
      <c r="E10" s="14"/>
      <c r="F10" s="62" t="s">
        <v>156</v>
      </c>
      <c r="G10" s="57" t="s">
        <v>3</v>
      </c>
      <c r="H10" s="112">
        <v>1</v>
      </c>
      <c r="I10" s="124">
        <v>16.899999999999999</v>
      </c>
      <c r="J10" s="78">
        <v>49.748916600000001</v>
      </c>
      <c r="K10" s="76">
        <v>675</v>
      </c>
      <c r="L10" s="31">
        <v>1</v>
      </c>
      <c r="M10" s="15">
        <v>1</v>
      </c>
      <c r="N10" s="34" t="s">
        <v>97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00" ht="34.5" customHeight="1" thickBot="1" x14ac:dyDescent="0.45">
      <c r="A11" s="53">
        <v>8</v>
      </c>
      <c r="B11" s="87">
        <v>0</v>
      </c>
      <c r="C11" s="81" t="s">
        <v>228</v>
      </c>
      <c r="D11" s="56" t="s">
        <v>229</v>
      </c>
      <c r="E11" s="14"/>
      <c r="F11" s="62" t="s">
        <v>153</v>
      </c>
      <c r="G11" s="57" t="s">
        <v>10</v>
      </c>
      <c r="H11" s="116">
        <v>5.6</v>
      </c>
      <c r="I11" s="123">
        <v>15</v>
      </c>
      <c r="J11" s="78">
        <v>49.971620000000001</v>
      </c>
      <c r="K11" s="76">
        <v>937</v>
      </c>
      <c r="L11" s="31">
        <v>1</v>
      </c>
      <c r="M11" s="15">
        <v>1</v>
      </c>
      <c r="N11" s="34" t="s">
        <v>97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00" ht="34.5" customHeight="1" thickBot="1" x14ac:dyDescent="0.45">
      <c r="A12" s="53">
        <v>9</v>
      </c>
      <c r="B12" s="87">
        <v>0</v>
      </c>
      <c r="C12" s="81" t="s">
        <v>228</v>
      </c>
      <c r="D12" s="56" t="s">
        <v>229</v>
      </c>
      <c r="E12" s="14"/>
      <c r="F12" s="62" t="s">
        <v>154</v>
      </c>
      <c r="G12" s="57" t="s">
        <v>11</v>
      </c>
      <c r="H12" s="110">
        <v>-0.6</v>
      </c>
      <c r="I12" s="122">
        <v>12.7</v>
      </c>
      <c r="J12" s="78">
        <v>49.700499999999998</v>
      </c>
      <c r="K12" s="76">
        <v>1424</v>
      </c>
      <c r="L12" s="31">
        <v>1</v>
      </c>
      <c r="M12" s="15">
        <v>1</v>
      </c>
      <c r="N12" s="34" t="s">
        <v>97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00" ht="34.5" customHeight="1" thickBot="1" x14ac:dyDescent="0.45">
      <c r="A13" s="53">
        <v>10</v>
      </c>
      <c r="B13" s="87">
        <v>0</v>
      </c>
      <c r="C13" s="81" t="s">
        <v>228</v>
      </c>
      <c r="D13" s="56" t="s">
        <v>229</v>
      </c>
      <c r="E13" s="14"/>
      <c r="F13" s="62" t="s">
        <v>154</v>
      </c>
      <c r="G13" s="57" t="s">
        <v>12</v>
      </c>
      <c r="H13" s="108">
        <v>-3.8</v>
      </c>
      <c r="I13" s="119">
        <v>8.1999999999999993</v>
      </c>
      <c r="J13" s="78">
        <v>48.747999999999998</v>
      </c>
      <c r="K13" s="76">
        <v>1931</v>
      </c>
      <c r="L13" s="31">
        <v>1</v>
      </c>
      <c r="M13" s="15">
        <v>1</v>
      </c>
      <c r="N13" s="34" t="s">
        <v>97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00" ht="34.5" customHeight="1" thickBot="1" x14ac:dyDescent="0.45">
      <c r="A14" s="53">
        <v>11</v>
      </c>
      <c r="B14" s="87">
        <v>0</v>
      </c>
      <c r="C14" s="81" t="s">
        <v>228</v>
      </c>
      <c r="D14" s="56" t="s">
        <v>229</v>
      </c>
      <c r="E14" s="14"/>
      <c r="F14" s="62" t="s">
        <v>154</v>
      </c>
      <c r="G14" s="57" t="s">
        <v>13</v>
      </c>
      <c r="H14" s="109">
        <v>-2.8</v>
      </c>
      <c r="I14" s="139">
        <v>13.6</v>
      </c>
      <c r="J14" s="78">
        <v>48.763053900000003</v>
      </c>
      <c r="K14" s="75">
        <v>1726</v>
      </c>
      <c r="L14" s="31">
        <v>1</v>
      </c>
      <c r="M14" s="15">
        <v>1</v>
      </c>
      <c r="N14" s="34" t="s">
        <v>97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00" ht="34.5" customHeight="1" thickBot="1" x14ac:dyDescent="0.45">
      <c r="A15" s="53">
        <v>12</v>
      </c>
      <c r="B15" s="87">
        <v>0</v>
      </c>
      <c r="C15" s="81" t="s">
        <v>228</v>
      </c>
      <c r="D15" s="56" t="s">
        <v>229</v>
      </c>
      <c r="E15" s="14"/>
      <c r="F15" s="62" t="s">
        <v>155</v>
      </c>
      <c r="G15" s="57" t="s">
        <v>9</v>
      </c>
      <c r="H15" s="110">
        <v>-1</v>
      </c>
      <c r="I15" s="136">
        <v>11.7</v>
      </c>
      <c r="J15" s="78">
        <v>51.113950000000003</v>
      </c>
      <c r="K15" s="75">
        <v>1585</v>
      </c>
      <c r="L15" s="31">
        <v>1</v>
      </c>
      <c r="M15" s="15">
        <v>1</v>
      </c>
      <c r="N15" s="34" t="s">
        <v>97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00" ht="34.5" customHeight="1" thickBot="1" x14ac:dyDescent="0.45">
      <c r="A16" s="53">
        <v>13</v>
      </c>
      <c r="B16" s="87">
        <v>0</v>
      </c>
      <c r="C16" s="81" t="s">
        <v>228</v>
      </c>
      <c r="D16" s="56" t="s">
        <v>229</v>
      </c>
      <c r="E16" s="14"/>
      <c r="F16" s="62" t="s">
        <v>157</v>
      </c>
      <c r="G16" s="57" t="s">
        <v>103</v>
      </c>
      <c r="H16" s="112">
        <v>1.7</v>
      </c>
      <c r="I16" s="138">
        <v>14.4</v>
      </c>
      <c r="J16" s="78">
        <v>47.918445599999998</v>
      </c>
      <c r="K16" s="76">
        <v>1304</v>
      </c>
      <c r="L16" s="31">
        <v>1</v>
      </c>
      <c r="M16" s="15">
        <v>1</v>
      </c>
      <c r="N16" s="34" t="s">
        <v>97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 t="s">
        <v>401</v>
      </c>
      <c r="E17" s="14"/>
      <c r="F17" s="62" t="s">
        <v>157</v>
      </c>
      <c r="G17" s="57" t="s">
        <v>311</v>
      </c>
      <c r="H17" s="109">
        <v>-2.5</v>
      </c>
      <c r="I17" s="136">
        <v>11.4</v>
      </c>
      <c r="J17" s="78">
        <v>47.988666500000001</v>
      </c>
      <c r="K17" s="76">
        <v>1532</v>
      </c>
      <c r="L17" s="31">
        <v>1</v>
      </c>
      <c r="M17" s="15">
        <v>1</v>
      </c>
      <c r="N17" s="34" t="s">
        <v>289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157</v>
      </c>
      <c r="G18" s="57" t="s">
        <v>312</v>
      </c>
      <c r="H18" s="91"/>
      <c r="I18" s="91"/>
      <c r="J18" s="78">
        <v>47.849437700000003</v>
      </c>
      <c r="K18" s="76">
        <v>1273</v>
      </c>
      <c r="L18" s="31">
        <v>1</v>
      </c>
      <c r="M18" s="15"/>
      <c r="N18" s="34" t="s">
        <v>289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 t="s">
        <v>397</v>
      </c>
      <c r="E19" s="14"/>
      <c r="F19" s="62" t="s">
        <v>158</v>
      </c>
      <c r="G19" s="57" t="s">
        <v>36</v>
      </c>
      <c r="H19" s="107">
        <v>-4.2</v>
      </c>
      <c r="I19" s="120">
        <v>9.6</v>
      </c>
      <c r="J19" s="78">
        <v>47.22730833</v>
      </c>
      <c r="K19" s="76">
        <v>2422</v>
      </c>
      <c r="L19" s="31">
        <v>1</v>
      </c>
      <c r="M19" s="15">
        <v>1</v>
      </c>
      <c r="N19" s="34" t="s">
        <v>97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/>
      <c r="E20" s="14"/>
      <c r="F20" s="62" t="s">
        <v>158</v>
      </c>
      <c r="G20" s="57" t="s">
        <v>37</v>
      </c>
      <c r="H20" s="91"/>
      <c r="I20" s="91"/>
      <c r="J20" s="78">
        <v>47.016469999999998</v>
      </c>
      <c r="K20" s="76">
        <v>2034</v>
      </c>
      <c r="L20" s="31">
        <v>1</v>
      </c>
      <c r="M20" s="15">
        <v>1</v>
      </c>
      <c r="N20" s="34" t="s">
        <v>97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228</v>
      </c>
      <c r="D21" s="56"/>
      <c r="E21" s="14"/>
      <c r="F21" s="62" t="s">
        <v>158</v>
      </c>
      <c r="G21" s="57" t="s">
        <v>288</v>
      </c>
      <c r="H21" s="91"/>
      <c r="I21" s="91"/>
      <c r="J21" s="78">
        <v>46.812109999999997</v>
      </c>
      <c r="K21" s="76">
        <v>2258</v>
      </c>
      <c r="L21" s="31">
        <v>1</v>
      </c>
      <c r="M21" s="15">
        <v>1</v>
      </c>
      <c r="N21" s="34" t="s">
        <v>289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228</v>
      </c>
      <c r="D22" s="56"/>
      <c r="E22" s="14"/>
      <c r="F22" s="62" t="s">
        <v>158</v>
      </c>
      <c r="G22" s="57" t="s">
        <v>290</v>
      </c>
      <c r="H22" s="91"/>
      <c r="I22" s="91"/>
      <c r="J22" s="78">
        <v>46.702083600000002</v>
      </c>
      <c r="K22" s="76">
        <v>2128</v>
      </c>
      <c r="L22" s="31">
        <v>1</v>
      </c>
      <c r="M22" s="15"/>
      <c r="N22" s="34" t="s">
        <v>289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159</v>
      </c>
      <c r="G23" s="57" t="s">
        <v>38</v>
      </c>
      <c r="H23" s="91"/>
      <c r="I23" s="91"/>
      <c r="J23" s="78">
        <v>48.332500000000003</v>
      </c>
      <c r="K23" s="75">
        <v>1166</v>
      </c>
      <c r="L23" s="31">
        <v>1</v>
      </c>
      <c r="M23" s="15"/>
      <c r="N23" s="34" t="s">
        <v>97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159</v>
      </c>
      <c r="G24" s="57" t="s">
        <v>39</v>
      </c>
      <c r="H24" s="91"/>
      <c r="I24" s="91"/>
      <c r="J24" s="78">
        <v>48.50137222</v>
      </c>
      <c r="K24" s="75">
        <v>1262</v>
      </c>
      <c r="L24" s="31">
        <v>1</v>
      </c>
      <c r="M24" s="15"/>
      <c r="N24" s="34" t="s">
        <v>97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159</v>
      </c>
      <c r="G25" s="57" t="s">
        <v>40</v>
      </c>
      <c r="H25" s="91"/>
      <c r="I25" s="91"/>
      <c r="J25" s="78">
        <v>46.590800000000002</v>
      </c>
      <c r="K25" s="75">
        <v>1716</v>
      </c>
      <c r="L25" s="31">
        <v>1</v>
      </c>
      <c r="M25" s="15"/>
      <c r="N25" s="34" t="s">
        <v>97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228</v>
      </c>
      <c r="D26" s="56"/>
      <c r="E26" s="14"/>
      <c r="F26" s="62" t="s">
        <v>159</v>
      </c>
      <c r="G26" s="57" t="s">
        <v>291</v>
      </c>
      <c r="H26" s="91"/>
      <c r="I26" s="91"/>
      <c r="J26" s="78">
        <v>46.094700000000003</v>
      </c>
      <c r="K26" s="75">
        <v>1187</v>
      </c>
      <c r="L26" s="31">
        <v>1</v>
      </c>
      <c r="M26" s="15"/>
      <c r="N26" s="34" t="s">
        <v>289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/>
      <c r="E27" s="14"/>
      <c r="F27" s="62" t="s">
        <v>155</v>
      </c>
      <c r="G27" s="57" t="s">
        <v>41</v>
      </c>
      <c r="H27" s="91"/>
      <c r="I27" s="91"/>
      <c r="J27" s="78">
        <v>49.597225000000002</v>
      </c>
      <c r="K27" s="76">
        <v>1805</v>
      </c>
      <c r="L27" s="31">
        <v>1</v>
      </c>
      <c r="M27" s="15"/>
      <c r="N27" s="34" t="s">
        <v>97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/>
      <c r="E28" s="14"/>
      <c r="F28" s="62" t="s">
        <v>155</v>
      </c>
      <c r="G28" s="57" t="s">
        <v>42</v>
      </c>
      <c r="H28" s="91"/>
      <c r="I28" s="91"/>
      <c r="J28" s="78">
        <v>50.677022219999998</v>
      </c>
      <c r="K28" s="75">
        <v>1687</v>
      </c>
      <c r="L28" s="31">
        <v>1</v>
      </c>
      <c r="M28" s="15"/>
      <c r="N28" s="34" t="s">
        <v>97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/>
      <c r="E29" s="14"/>
      <c r="F29" s="62" t="s">
        <v>155</v>
      </c>
      <c r="G29" s="57" t="s">
        <v>292</v>
      </c>
      <c r="H29" s="91"/>
      <c r="I29" s="91"/>
      <c r="J29" s="78">
        <v>50.5523338</v>
      </c>
      <c r="K29" s="75">
        <v>1139</v>
      </c>
      <c r="L29" s="31">
        <v>1</v>
      </c>
      <c r="M29" s="15"/>
      <c r="N29" s="34" t="s">
        <v>289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155</v>
      </c>
      <c r="G30" s="57" t="s">
        <v>293</v>
      </c>
      <c r="H30" s="91"/>
      <c r="I30" s="91"/>
      <c r="J30" s="78">
        <v>50.112744444444402</v>
      </c>
      <c r="K30" s="75">
        <v>1566</v>
      </c>
      <c r="L30" s="31">
        <v>1</v>
      </c>
      <c r="M30" s="15"/>
      <c r="N30" s="34" t="s">
        <v>289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 t="s">
        <v>228</v>
      </c>
      <c r="D31" s="56"/>
      <c r="E31" s="14"/>
      <c r="F31" s="62" t="s">
        <v>155</v>
      </c>
      <c r="G31" s="57" t="s">
        <v>294</v>
      </c>
      <c r="H31" s="91"/>
      <c r="I31" s="91"/>
      <c r="J31" s="78">
        <v>50.439346299999997</v>
      </c>
      <c r="K31" s="75">
        <v>1668</v>
      </c>
      <c r="L31" s="31">
        <v>1</v>
      </c>
      <c r="M31" s="15"/>
      <c r="N31" s="34" t="s">
        <v>289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 t="s">
        <v>228</v>
      </c>
      <c r="D32" s="56"/>
      <c r="E32" s="14"/>
      <c r="F32" s="62" t="s">
        <v>155</v>
      </c>
      <c r="G32" s="57" t="s">
        <v>295</v>
      </c>
      <c r="H32" s="91"/>
      <c r="I32" s="91"/>
      <c r="J32" s="78">
        <v>49.638805400000003</v>
      </c>
      <c r="K32" s="75">
        <v>1291</v>
      </c>
      <c r="L32" s="31">
        <v>1</v>
      </c>
      <c r="M32" s="15"/>
      <c r="N32" s="34" t="s">
        <v>289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/>
      <c r="E33" s="14"/>
      <c r="F33" s="62" t="s">
        <v>155</v>
      </c>
      <c r="G33" s="57" t="s">
        <v>296</v>
      </c>
      <c r="H33" s="91"/>
      <c r="I33" s="91"/>
      <c r="J33" s="78">
        <v>49.907575000000001</v>
      </c>
      <c r="K33" s="75">
        <v>1881</v>
      </c>
      <c r="L33" s="31">
        <v>1</v>
      </c>
      <c r="M33" s="15"/>
      <c r="N33" s="34" t="s">
        <v>289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/>
      <c r="D34" s="56"/>
      <c r="E34" s="14"/>
      <c r="F34" s="62" t="s">
        <v>155</v>
      </c>
      <c r="G34" s="57" t="s">
        <v>297</v>
      </c>
      <c r="H34" s="91"/>
      <c r="I34" s="91"/>
      <c r="J34" s="78">
        <v>49.522293099999999</v>
      </c>
      <c r="K34" s="75">
        <v>1746</v>
      </c>
      <c r="L34" s="31">
        <v>1</v>
      </c>
      <c r="M34" s="15"/>
      <c r="N34" s="34" t="s">
        <v>289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/>
      <c r="D35" s="56"/>
      <c r="E35" s="14"/>
      <c r="F35" s="62" t="s">
        <v>155</v>
      </c>
      <c r="G35" s="57" t="s">
        <v>298</v>
      </c>
      <c r="H35" s="91"/>
      <c r="I35" s="91"/>
      <c r="J35" s="78">
        <v>50.179012299999997</v>
      </c>
      <c r="K35" s="75">
        <v>1632</v>
      </c>
      <c r="L35" s="31">
        <v>1</v>
      </c>
      <c r="M35" s="15"/>
      <c r="N35" s="34" t="s">
        <v>289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155</v>
      </c>
      <c r="G36" s="57" t="s">
        <v>299</v>
      </c>
      <c r="H36" s="91"/>
      <c r="I36" s="91"/>
      <c r="J36" s="78">
        <v>51.5064361111111</v>
      </c>
      <c r="K36" s="75">
        <v>1730</v>
      </c>
      <c r="L36" s="31">
        <v>1</v>
      </c>
      <c r="M36" s="15"/>
      <c r="N36" s="34" t="s">
        <v>289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155</v>
      </c>
      <c r="G37" s="57" t="s">
        <v>300</v>
      </c>
      <c r="H37" s="91"/>
      <c r="I37" s="91"/>
      <c r="J37" s="78">
        <v>50.120224</v>
      </c>
      <c r="K37" s="75">
        <v>1151</v>
      </c>
      <c r="L37" s="31">
        <v>1</v>
      </c>
      <c r="M37" s="15"/>
      <c r="N37" s="34" t="s">
        <v>289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/>
      <c r="E38" s="14"/>
      <c r="F38" s="62" t="s">
        <v>155</v>
      </c>
      <c r="G38" s="57" t="s">
        <v>301</v>
      </c>
      <c r="H38" s="91"/>
      <c r="I38" s="91"/>
      <c r="J38" s="78">
        <v>49.121166199999998</v>
      </c>
      <c r="K38" s="75">
        <v>1384</v>
      </c>
      <c r="L38" s="31">
        <v>1</v>
      </c>
      <c r="M38" s="15"/>
      <c r="N38" s="34" t="s">
        <v>289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156</v>
      </c>
      <c r="G39" s="57" t="s">
        <v>189</v>
      </c>
      <c r="H39" s="91"/>
      <c r="I39" s="91"/>
      <c r="J39" s="78">
        <v>50.069886109999999</v>
      </c>
      <c r="K39" s="76">
        <v>632</v>
      </c>
      <c r="L39" s="31">
        <v>1</v>
      </c>
      <c r="M39" s="15"/>
      <c r="N39" s="34" t="s">
        <v>97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153</v>
      </c>
      <c r="G40" s="57" t="s">
        <v>190</v>
      </c>
      <c r="H40" s="91"/>
      <c r="I40" s="91"/>
      <c r="J40" s="78">
        <v>50.61058611</v>
      </c>
      <c r="K40" s="75">
        <v>859</v>
      </c>
      <c r="L40" s="31">
        <v>1</v>
      </c>
      <c r="M40" s="15"/>
      <c r="N40" s="34" t="s">
        <v>97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153</v>
      </c>
      <c r="G41" s="57" t="s">
        <v>43</v>
      </c>
      <c r="H41" s="91"/>
      <c r="I41" s="91"/>
      <c r="J41" s="78">
        <v>49.72889</v>
      </c>
      <c r="K41" s="76">
        <v>1393</v>
      </c>
      <c r="L41" s="31">
        <v>1</v>
      </c>
      <c r="M41" s="15"/>
      <c r="N41" s="34" t="s">
        <v>97</v>
      </c>
      <c r="O41" s="18"/>
      <c r="P41" s="18"/>
      <c r="Q41" s="26">
        <v>1</v>
      </c>
      <c r="R41" s="19"/>
      <c r="S41" s="20"/>
      <c r="V41" s="6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153</v>
      </c>
      <c r="G42" s="57" t="s">
        <v>44</v>
      </c>
      <c r="H42" s="91"/>
      <c r="I42" s="91"/>
      <c r="J42" s="78">
        <v>49.104990000000001</v>
      </c>
      <c r="K42" s="75">
        <v>1593</v>
      </c>
      <c r="L42" s="31">
        <v>1</v>
      </c>
      <c r="M42" s="15"/>
      <c r="N42" s="34" t="s">
        <v>97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/>
      <c r="E43" s="14"/>
      <c r="F43" s="62" t="s">
        <v>153</v>
      </c>
      <c r="G43" s="57" t="s">
        <v>45</v>
      </c>
      <c r="H43" s="91"/>
      <c r="I43" s="91"/>
      <c r="J43" s="78">
        <v>50.339719440000003</v>
      </c>
      <c r="K43" s="75">
        <v>1142</v>
      </c>
      <c r="L43" s="31">
        <v>1</v>
      </c>
      <c r="M43" s="15"/>
      <c r="N43" s="34" t="s">
        <v>97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153</v>
      </c>
      <c r="G44" s="57" t="s">
        <v>46</v>
      </c>
      <c r="H44" s="91"/>
      <c r="I44" s="91"/>
      <c r="J44" s="78">
        <v>50.09788056</v>
      </c>
      <c r="K44" s="75">
        <v>1212</v>
      </c>
      <c r="L44" s="31">
        <v>1</v>
      </c>
      <c r="M44" s="15"/>
      <c r="N44" s="34" t="s">
        <v>97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153</v>
      </c>
      <c r="G45" s="57" t="s">
        <v>47</v>
      </c>
      <c r="H45" s="91"/>
      <c r="I45" s="91"/>
      <c r="J45" s="78">
        <v>49.658639999999998</v>
      </c>
      <c r="K45" s="76">
        <v>1233</v>
      </c>
      <c r="L45" s="31">
        <v>1</v>
      </c>
      <c r="M45" s="15"/>
      <c r="N45" s="34" t="s">
        <v>97</v>
      </c>
      <c r="O45" s="18"/>
      <c r="P45" s="18"/>
      <c r="Q45" s="26">
        <v>1</v>
      </c>
      <c r="R45" s="19"/>
      <c r="S45" s="20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153</v>
      </c>
      <c r="G46" s="57" t="s">
        <v>48</v>
      </c>
      <c r="H46" s="91"/>
      <c r="I46" s="91"/>
      <c r="J46" s="78">
        <v>48.821666700000002</v>
      </c>
      <c r="K46" s="76">
        <v>1045</v>
      </c>
      <c r="L46" s="31">
        <v>1</v>
      </c>
      <c r="M46" s="15"/>
      <c r="N46" s="34" t="s">
        <v>97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/>
      <c r="E47" s="14"/>
      <c r="F47" s="62" t="s">
        <v>154</v>
      </c>
      <c r="G47" s="57" t="s">
        <v>49</v>
      </c>
      <c r="H47" s="91"/>
      <c r="I47" s="91"/>
      <c r="J47" s="78">
        <v>49.373166670000003</v>
      </c>
      <c r="K47" s="76">
        <v>1858</v>
      </c>
      <c r="L47" s="31">
        <v>1</v>
      </c>
      <c r="M47" s="15">
        <v>1</v>
      </c>
      <c r="N47" s="34" t="s">
        <v>97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154</v>
      </c>
      <c r="G48" s="57" t="s">
        <v>50</v>
      </c>
      <c r="H48" s="91"/>
      <c r="I48" s="91"/>
      <c r="J48" s="78">
        <v>48.721816670000003</v>
      </c>
      <c r="K48" s="75">
        <v>1656</v>
      </c>
      <c r="L48" s="31">
        <v>1</v>
      </c>
      <c r="M48" s="15"/>
      <c r="N48" s="34" t="s">
        <v>97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/>
      <c r="D49" s="56"/>
      <c r="E49" s="14"/>
      <c r="F49" s="62" t="s">
        <v>154</v>
      </c>
      <c r="G49" s="57" t="s">
        <v>191</v>
      </c>
      <c r="H49" s="91"/>
      <c r="I49" s="91"/>
      <c r="J49" s="78">
        <v>48.870530000000002</v>
      </c>
      <c r="K49" s="76">
        <v>1851</v>
      </c>
      <c r="L49" s="31">
        <v>1</v>
      </c>
      <c r="M49" s="15"/>
      <c r="N49" s="34" t="s">
        <v>97</v>
      </c>
      <c r="O49" s="18"/>
      <c r="P49" s="18"/>
      <c r="Q49" s="26">
        <v>1</v>
      </c>
      <c r="R49" s="19"/>
      <c r="S49" s="20"/>
      <c r="V49" s="6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154</v>
      </c>
      <c r="G50" s="57" t="s">
        <v>51</v>
      </c>
      <c r="H50" s="91"/>
      <c r="I50" s="91"/>
      <c r="J50" s="78">
        <v>48.589822220000002</v>
      </c>
      <c r="K50" s="76">
        <v>1569</v>
      </c>
      <c r="L50" s="31">
        <v>1</v>
      </c>
      <c r="M50" s="15"/>
      <c r="N50" s="34" t="s">
        <v>97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/>
      <c r="E51" s="14"/>
      <c r="F51" s="62" t="s">
        <v>154</v>
      </c>
      <c r="G51" s="57" t="s">
        <v>52</v>
      </c>
      <c r="H51" s="91"/>
      <c r="I51" s="91"/>
      <c r="J51" s="78">
        <v>48.982269440000003</v>
      </c>
      <c r="K51" s="76">
        <v>1776</v>
      </c>
      <c r="L51" s="31">
        <v>1</v>
      </c>
      <c r="M51" s="15">
        <v>1</v>
      </c>
      <c r="N51" s="34" t="s">
        <v>97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154</v>
      </c>
      <c r="G52" s="57" t="s">
        <v>53</v>
      </c>
      <c r="H52" s="91"/>
      <c r="I52" s="91"/>
      <c r="J52" s="78">
        <v>48.511452779999999</v>
      </c>
      <c r="K52" s="76">
        <v>1271</v>
      </c>
      <c r="L52" s="31">
        <v>1</v>
      </c>
      <c r="M52" s="15"/>
      <c r="N52" s="34" t="s">
        <v>97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 t="s">
        <v>397</v>
      </c>
      <c r="E53" s="14"/>
      <c r="F53" s="62" t="s">
        <v>154</v>
      </c>
      <c r="G53" s="57" t="s">
        <v>54</v>
      </c>
      <c r="H53" s="107">
        <v>-4.5999999999999996</v>
      </c>
      <c r="I53" s="136">
        <v>11.3</v>
      </c>
      <c r="J53" s="78">
        <v>48.116247219999998</v>
      </c>
      <c r="K53" s="76">
        <v>2113</v>
      </c>
      <c r="L53" s="31">
        <v>1</v>
      </c>
      <c r="M53" s="15">
        <v>1</v>
      </c>
      <c r="N53" s="34" t="s">
        <v>97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 t="s">
        <v>397</v>
      </c>
      <c r="E54" s="14"/>
      <c r="F54" s="62" t="s">
        <v>154</v>
      </c>
      <c r="G54" s="57" t="s">
        <v>55</v>
      </c>
      <c r="H54" s="107">
        <v>-4.2</v>
      </c>
      <c r="I54" s="136">
        <v>11.7</v>
      </c>
      <c r="J54" s="78">
        <v>48.219799999999999</v>
      </c>
      <c r="K54" s="75">
        <v>1963</v>
      </c>
      <c r="L54" s="31">
        <v>1</v>
      </c>
      <c r="M54" s="15">
        <v>1</v>
      </c>
      <c r="N54" s="34" t="s">
        <v>97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154</v>
      </c>
      <c r="G55" s="57" t="s">
        <v>56</v>
      </c>
      <c r="H55" s="91"/>
      <c r="I55" s="91"/>
      <c r="J55" s="78">
        <v>48.325195299999997</v>
      </c>
      <c r="K55" s="76">
        <v>1777</v>
      </c>
      <c r="L55" s="31">
        <v>1</v>
      </c>
      <c r="M55" s="15"/>
      <c r="N55" s="34" t="s">
        <v>97</v>
      </c>
      <c r="O55" s="18"/>
      <c r="P55" s="18"/>
      <c r="Q55" s="26">
        <v>1</v>
      </c>
      <c r="R55" s="19"/>
      <c r="S55" s="20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286</v>
      </c>
      <c r="G56" s="57" t="s">
        <v>287</v>
      </c>
      <c r="H56" s="91"/>
      <c r="I56" s="91"/>
      <c r="J56" s="78">
        <v>48.268963888888798</v>
      </c>
      <c r="K56" s="76">
        <v>2233</v>
      </c>
      <c r="L56" s="31">
        <v>1</v>
      </c>
      <c r="M56" s="15"/>
      <c r="N56" s="34" t="s">
        <v>289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/>
      <c r="E57" s="14"/>
      <c r="F57" s="62" t="s">
        <v>286</v>
      </c>
      <c r="G57" s="57" t="s">
        <v>302</v>
      </c>
      <c r="H57" s="91"/>
      <c r="I57" s="91"/>
      <c r="J57" s="78">
        <v>48.299144699999999</v>
      </c>
      <c r="K57" s="76">
        <v>2147</v>
      </c>
      <c r="L57" s="31">
        <v>1</v>
      </c>
      <c r="M57" s="15">
        <v>1</v>
      </c>
      <c r="N57" s="34" t="s">
        <v>289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304</v>
      </c>
      <c r="G58" s="57" t="s">
        <v>303</v>
      </c>
      <c r="H58" s="91"/>
      <c r="I58" s="91"/>
      <c r="J58" s="78">
        <v>48.045241666666598</v>
      </c>
      <c r="K58" s="76">
        <v>1933</v>
      </c>
      <c r="L58" s="31">
        <v>1</v>
      </c>
      <c r="M58" s="15"/>
      <c r="N58" s="34" t="s">
        <v>289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304</v>
      </c>
      <c r="G59" s="57" t="s">
        <v>305</v>
      </c>
      <c r="H59" s="91"/>
      <c r="I59" s="91"/>
      <c r="J59" s="78">
        <v>47.850722222222203</v>
      </c>
      <c r="K59" s="76">
        <v>2140</v>
      </c>
      <c r="L59" s="31">
        <v>1</v>
      </c>
      <c r="M59" s="15"/>
      <c r="N59" s="34" t="s">
        <v>289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304</v>
      </c>
      <c r="G60" s="57" t="s">
        <v>306</v>
      </c>
      <c r="H60" s="91"/>
      <c r="I60" s="91"/>
      <c r="J60" s="78">
        <v>48.103025000000002</v>
      </c>
      <c r="K60" s="76">
        <v>1300</v>
      </c>
      <c r="L60" s="31">
        <v>1</v>
      </c>
      <c r="M60" s="15"/>
      <c r="N60" s="34" t="s">
        <v>289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 t="s">
        <v>397</v>
      </c>
      <c r="E61" s="14"/>
      <c r="F61" s="62" t="s">
        <v>304</v>
      </c>
      <c r="G61" s="57" t="s">
        <v>308</v>
      </c>
      <c r="H61" s="108">
        <v>-3.8</v>
      </c>
      <c r="I61" s="122">
        <v>12.9</v>
      </c>
      <c r="J61" s="78">
        <v>47.535888888888799</v>
      </c>
      <c r="K61" s="76">
        <v>2036</v>
      </c>
      <c r="L61" s="31">
        <v>1</v>
      </c>
      <c r="M61" s="15">
        <v>1</v>
      </c>
      <c r="N61" s="34" t="s">
        <v>289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>
        <v>0</v>
      </c>
      <c r="C62" s="81" t="s">
        <v>228</v>
      </c>
      <c r="D62" s="56"/>
      <c r="E62" s="14"/>
      <c r="F62" s="63" t="s">
        <v>160</v>
      </c>
      <c r="G62" s="58" t="s">
        <v>8</v>
      </c>
      <c r="H62" s="91"/>
      <c r="I62" s="91"/>
      <c r="J62" s="78">
        <v>49</v>
      </c>
      <c r="K62" s="76">
        <v>257</v>
      </c>
      <c r="L62" s="31">
        <v>1</v>
      </c>
      <c r="M62" s="15">
        <v>1</v>
      </c>
      <c r="N62" s="34" t="s">
        <v>98</v>
      </c>
      <c r="O62" s="18"/>
      <c r="P62" s="18">
        <v>1</v>
      </c>
      <c r="Q62" s="26"/>
      <c r="R62" s="19"/>
      <c r="S62" s="20"/>
    </row>
    <row r="63" spans="1:22" ht="34.5" customHeight="1" thickBot="1" x14ac:dyDescent="0.45">
      <c r="A63" s="53">
        <v>60</v>
      </c>
      <c r="B63" s="87">
        <v>0</v>
      </c>
      <c r="C63" s="81" t="s">
        <v>228</v>
      </c>
      <c r="D63" s="56"/>
      <c r="E63" s="14"/>
      <c r="F63" s="63" t="s">
        <v>219</v>
      </c>
      <c r="G63" s="58" t="s">
        <v>192</v>
      </c>
      <c r="H63" s="91"/>
      <c r="I63" s="91"/>
      <c r="J63" s="78">
        <v>50.866666600000002</v>
      </c>
      <c r="K63" s="75">
        <v>272</v>
      </c>
      <c r="L63" s="31">
        <v>1</v>
      </c>
      <c r="M63" s="15">
        <v>1</v>
      </c>
      <c r="N63" s="34" t="s">
        <v>98</v>
      </c>
      <c r="O63" s="18"/>
      <c r="P63" s="18">
        <v>1</v>
      </c>
      <c r="Q63" s="26"/>
      <c r="R63" s="19"/>
      <c r="S63" s="20"/>
    </row>
    <row r="64" spans="1:22" ht="34.5" customHeight="1" thickBot="1" x14ac:dyDescent="0.45">
      <c r="A64" s="53">
        <v>61</v>
      </c>
      <c r="B64" s="87">
        <v>0</v>
      </c>
      <c r="C64" s="81" t="s">
        <v>228</v>
      </c>
      <c r="D64" s="56" t="s">
        <v>229</v>
      </c>
      <c r="E64" s="14"/>
      <c r="F64" s="63" t="s">
        <v>219</v>
      </c>
      <c r="G64" s="58" t="s">
        <v>193</v>
      </c>
      <c r="H64" s="110">
        <v>-0.4</v>
      </c>
      <c r="I64" s="126">
        <v>18.8</v>
      </c>
      <c r="J64" s="78">
        <v>52.266666600000001</v>
      </c>
      <c r="K64" s="75">
        <v>902</v>
      </c>
      <c r="L64" s="31">
        <v>1</v>
      </c>
      <c r="M64" s="15">
        <v>1</v>
      </c>
      <c r="N64" s="34" t="s">
        <v>98</v>
      </c>
      <c r="O64" s="18"/>
      <c r="P64" s="18">
        <v>1</v>
      </c>
      <c r="Q64" s="26"/>
      <c r="R64" s="19"/>
      <c r="S64" s="20"/>
    </row>
    <row r="65" spans="1:21" ht="34.5" customHeight="1" thickBot="1" x14ac:dyDescent="0.45">
      <c r="A65" s="53">
        <v>62</v>
      </c>
      <c r="B65" s="87">
        <v>0</v>
      </c>
      <c r="C65" s="81" t="s">
        <v>228</v>
      </c>
      <c r="D65" s="56"/>
      <c r="E65" s="14"/>
      <c r="F65" s="63" t="s">
        <v>161</v>
      </c>
      <c r="G65" s="58" t="s">
        <v>6</v>
      </c>
      <c r="H65" s="91"/>
      <c r="I65" s="91"/>
      <c r="J65" s="78">
        <v>53.066666699999999</v>
      </c>
      <c r="K65" s="75">
        <v>543</v>
      </c>
      <c r="L65" s="31">
        <v>1</v>
      </c>
      <c r="M65" s="15">
        <v>1</v>
      </c>
      <c r="N65" s="34" t="s">
        <v>98</v>
      </c>
      <c r="O65" s="18"/>
      <c r="P65" s="18">
        <v>1</v>
      </c>
      <c r="Q65" s="26"/>
      <c r="R65" s="19"/>
      <c r="S65" s="20"/>
    </row>
    <row r="66" spans="1:21" ht="34.5" customHeight="1" thickBot="1" x14ac:dyDescent="0.45">
      <c r="A66" s="53">
        <v>63</v>
      </c>
      <c r="B66" s="87">
        <v>0</v>
      </c>
      <c r="C66" s="81" t="s">
        <v>228</v>
      </c>
      <c r="D66" s="56"/>
      <c r="E66" s="14"/>
      <c r="F66" s="63" t="s">
        <v>219</v>
      </c>
      <c r="G66" s="58" t="s">
        <v>7</v>
      </c>
      <c r="H66" s="91"/>
      <c r="I66" s="91"/>
      <c r="J66" s="78">
        <v>53.05</v>
      </c>
      <c r="K66" s="75">
        <v>153</v>
      </c>
      <c r="L66" s="31">
        <v>1</v>
      </c>
      <c r="M66" s="15">
        <v>1</v>
      </c>
      <c r="N66" s="34" t="s">
        <v>98</v>
      </c>
      <c r="O66" s="18"/>
      <c r="P66" s="18">
        <v>1</v>
      </c>
      <c r="Q66" s="26"/>
      <c r="R66" s="19"/>
      <c r="S66" s="20"/>
    </row>
    <row r="67" spans="1:21" ht="34.5" customHeight="1" thickBot="1" x14ac:dyDescent="0.45">
      <c r="A67" s="53">
        <v>64</v>
      </c>
      <c r="B67" s="87">
        <v>0</v>
      </c>
      <c r="C67" s="81" t="s">
        <v>228</v>
      </c>
      <c r="D67" s="56"/>
      <c r="E67" s="14"/>
      <c r="F67" s="63" t="s">
        <v>220</v>
      </c>
      <c r="G67" s="58" t="s">
        <v>194</v>
      </c>
      <c r="H67" s="91"/>
      <c r="I67" s="91"/>
      <c r="J67" s="78">
        <v>53.75</v>
      </c>
      <c r="K67" s="76">
        <v>625</v>
      </c>
      <c r="L67" s="31">
        <v>1</v>
      </c>
      <c r="M67" s="15">
        <v>1</v>
      </c>
      <c r="N67" s="34" t="s">
        <v>98</v>
      </c>
      <c r="O67" s="18"/>
      <c r="P67" s="18">
        <v>1</v>
      </c>
      <c r="Q67" s="26"/>
      <c r="R67" s="19"/>
      <c r="S67" s="20"/>
    </row>
    <row r="68" spans="1:21" ht="34.5" customHeight="1" thickBot="1" x14ac:dyDescent="0.45">
      <c r="A68" s="53">
        <v>65</v>
      </c>
      <c r="B68" s="87">
        <v>0</v>
      </c>
      <c r="C68" s="81" t="s">
        <v>149</v>
      </c>
      <c r="D68" s="56" t="s">
        <v>229</v>
      </c>
      <c r="E68" s="14"/>
      <c r="F68" s="63" t="s">
        <v>220</v>
      </c>
      <c r="G68" s="58" t="s">
        <v>230</v>
      </c>
      <c r="H68" s="109">
        <v>-3</v>
      </c>
      <c r="I68" s="123">
        <v>15.8</v>
      </c>
      <c r="J68" s="78">
        <v>54.45</v>
      </c>
      <c r="K68" s="77">
        <v>686</v>
      </c>
      <c r="L68" s="31">
        <v>1</v>
      </c>
      <c r="M68" s="15">
        <v>1</v>
      </c>
      <c r="N68" s="34" t="s">
        <v>148</v>
      </c>
      <c r="O68" s="18"/>
      <c r="P68" s="18">
        <v>1</v>
      </c>
      <c r="Q68" s="26"/>
      <c r="R68" s="19"/>
      <c r="S68" s="20"/>
    </row>
    <row r="69" spans="1:21" ht="34.5" customHeight="1" thickBot="1" x14ac:dyDescent="0.45">
      <c r="A69" s="53">
        <v>66</v>
      </c>
      <c r="B69" s="87">
        <v>0</v>
      </c>
      <c r="C69" s="81" t="s">
        <v>228</v>
      </c>
      <c r="D69" s="56" t="s">
        <v>229</v>
      </c>
      <c r="E69" s="14"/>
      <c r="F69" s="63" t="s">
        <v>220</v>
      </c>
      <c r="G69" s="58" t="s">
        <v>195</v>
      </c>
      <c r="H69" s="110">
        <v>-0.8</v>
      </c>
      <c r="I69" s="138">
        <v>14.1</v>
      </c>
      <c r="J69" s="78">
        <v>53.533333300000002</v>
      </c>
      <c r="K69" s="75">
        <v>811</v>
      </c>
      <c r="L69" s="31">
        <v>1</v>
      </c>
      <c r="M69" s="15">
        <v>1</v>
      </c>
      <c r="N69" s="34" t="s">
        <v>98</v>
      </c>
      <c r="O69" s="18"/>
      <c r="P69" s="18">
        <v>1</v>
      </c>
      <c r="Q69" s="26"/>
      <c r="R69" s="19"/>
      <c r="S69" s="20"/>
    </row>
    <row r="70" spans="1:21" ht="34.5" customHeight="1" thickBot="1" x14ac:dyDescent="0.45">
      <c r="A70" s="53">
        <v>67</v>
      </c>
      <c r="B70" s="87">
        <v>0</v>
      </c>
      <c r="C70" s="81" t="s">
        <v>228</v>
      </c>
      <c r="D70" s="56"/>
      <c r="E70" s="14"/>
      <c r="F70" s="63" t="s">
        <v>221</v>
      </c>
      <c r="G70" s="58" t="s">
        <v>5</v>
      </c>
      <c r="H70" s="91"/>
      <c r="I70" s="91"/>
      <c r="J70" s="78">
        <v>53.616666600000002</v>
      </c>
      <c r="K70" s="75">
        <v>489</v>
      </c>
      <c r="L70" s="31">
        <v>1</v>
      </c>
      <c r="M70" s="15">
        <v>1</v>
      </c>
      <c r="N70" s="34" t="s">
        <v>98</v>
      </c>
      <c r="O70" s="18"/>
      <c r="P70" s="18">
        <v>1</v>
      </c>
      <c r="Q70" s="26"/>
      <c r="R70" s="19"/>
      <c r="S70" s="20"/>
    </row>
    <row r="71" spans="1:21" ht="34.5" customHeight="1" thickBot="1" x14ac:dyDescent="0.45">
      <c r="A71" s="53">
        <v>68</v>
      </c>
      <c r="B71" s="87">
        <v>0</v>
      </c>
      <c r="C71" s="81" t="s">
        <v>228</v>
      </c>
      <c r="D71" s="56" t="s">
        <v>229</v>
      </c>
      <c r="E71" s="14"/>
      <c r="F71" s="63" t="s">
        <v>162</v>
      </c>
      <c r="G71" s="58" t="s">
        <v>233</v>
      </c>
      <c r="H71" s="109">
        <v>-2.1</v>
      </c>
      <c r="I71" s="126">
        <v>18.3</v>
      </c>
      <c r="J71" s="78">
        <v>53.966666600000003</v>
      </c>
      <c r="K71" s="75">
        <v>533</v>
      </c>
      <c r="L71" s="31">
        <v>1</v>
      </c>
      <c r="M71" s="15">
        <v>1</v>
      </c>
      <c r="N71" s="34" t="s">
        <v>98</v>
      </c>
      <c r="O71" s="18"/>
      <c r="P71" s="18">
        <v>1</v>
      </c>
      <c r="Q71" s="26"/>
      <c r="R71" s="19"/>
      <c r="S71" s="20"/>
    </row>
    <row r="72" spans="1:21" ht="34.5" customHeight="1" thickBot="1" x14ac:dyDescent="0.45">
      <c r="A72" s="53">
        <v>69</v>
      </c>
      <c r="B72" s="87">
        <v>0</v>
      </c>
      <c r="C72" s="81" t="s">
        <v>228</v>
      </c>
      <c r="D72" s="56"/>
      <c r="E72" s="14"/>
      <c r="F72" s="63" t="s">
        <v>163</v>
      </c>
      <c r="G72" s="58" t="s">
        <v>196</v>
      </c>
      <c r="H72" s="91"/>
      <c r="I72" s="91"/>
      <c r="J72" s="78">
        <v>51.483333299999998</v>
      </c>
      <c r="K72" s="75">
        <v>705.8</v>
      </c>
      <c r="L72" s="31">
        <v>1</v>
      </c>
      <c r="M72" s="15">
        <v>1</v>
      </c>
      <c r="N72" s="34" t="s">
        <v>98</v>
      </c>
      <c r="O72" s="18"/>
      <c r="P72" s="18">
        <v>1</v>
      </c>
      <c r="Q72" s="26"/>
      <c r="R72" s="19"/>
      <c r="S72" s="20"/>
    </row>
    <row r="73" spans="1:21" ht="34.5" customHeight="1" thickBot="1" x14ac:dyDescent="0.45">
      <c r="A73" s="53">
        <v>70</v>
      </c>
      <c r="B73" s="87">
        <v>0</v>
      </c>
      <c r="C73" s="81" t="s">
        <v>228</v>
      </c>
      <c r="D73" s="56" t="s">
        <v>229</v>
      </c>
      <c r="E73" s="14"/>
      <c r="F73" s="63" t="s">
        <v>163</v>
      </c>
      <c r="G73" s="58" t="s">
        <v>197</v>
      </c>
      <c r="H73" s="119">
        <v>8</v>
      </c>
      <c r="I73" s="124">
        <v>16</v>
      </c>
      <c r="J73" s="78">
        <v>51.716666600000003</v>
      </c>
      <c r="K73" s="75">
        <v>628</v>
      </c>
      <c r="L73" s="31">
        <v>1</v>
      </c>
      <c r="M73" s="15">
        <v>1</v>
      </c>
      <c r="N73" s="34" t="s">
        <v>98</v>
      </c>
      <c r="O73" s="18"/>
      <c r="P73" s="18">
        <v>1</v>
      </c>
      <c r="Q73" s="26"/>
      <c r="R73" s="19"/>
      <c r="S73" s="20"/>
    </row>
    <row r="74" spans="1:21" ht="34.5" customHeight="1" thickBot="1" x14ac:dyDescent="0.45">
      <c r="A74" s="53">
        <v>71</v>
      </c>
      <c r="B74" s="87">
        <v>0</v>
      </c>
      <c r="C74" s="81" t="s">
        <v>228</v>
      </c>
      <c r="D74" s="56"/>
      <c r="E74" s="14"/>
      <c r="F74" s="63" t="s">
        <v>163</v>
      </c>
      <c r="G74" s="58" t="s">
        <v>198</v>
      </c>
      <c r="H74" s="91"/>
      <c r="I74" s="91"/>
      <c r="J74" s="78">
        <v>50.25</v>
      </c>
      <c r="K74" s="75">
        <v>1100</v>
      </c>
      <c r="L74" s="31">
        <v>1</v>
      </c>
      <c r="M74" s="15">
        <v>1</v>
      </c>
      <c r="N74" s="34" t="s">
        <v>98</v>
      </c>
      <c r="O74" s="18"/>
      <c r="P74" s="18">
        <v>1</v>
      </c>
      <c r="Q74" s="26"/>
      <c r="R74" s="19"/>
      <c r="S74" s="20"/>
    </row>
    <row r="75" spans="1:21" ht="34.5" customHeight="1" thickBot="1" x14ac:dyDescent="0.45">
      <c r="A75" s="53">
        <v>72</v>
      </c>
      <c r="B75" s="87">
        <v>0</v>
      </c>
      <c r="C75" s="81" t="s">
        <v>228</v>
      </c>
      <c r="D75" s="56" t="s">
        <v>229</v>
      </c>
      <c r="E75" s="14"/>
      <c r="F75" s="63" t="s">
        <v>164</v>
      </c>
      <c r="G75" s="58" t="s">
        <v>199</v>
      </c>
      <c r="H75" s="113">
        <v>2.2000000000000002</v>
      </c>
      <c r="I75" s="121">
        <v>10.9</v>
      </c>
      <c r="J75" s="78">
        <v>50.016666600000001</v>
      </c>
      <c r="K75" s="75">
        <v>1759</v>
      </c>
      <c r="L75" s="31">
        <v>1</v>
      </c>
      <c r="M75" s="15">
        <v>1</v>
      </c>
      <c r="N75" s="34" t="s">
        <v>98</v>
      </c>
      <c r="O75" s="18"/>
      <c r="P75" s="18">
        <v>1</v>
      </c>
      <c r="Q75" s="26"/>
      <c r="R75" s="19"/>
      <c r="S75" s="20"/>
    </row>
    <row r="76" spans="1:21" ht="34.5" customHeight="1" thickBot="1" x14ac:dyDescent="0.45">
      <c r="A76" s="53">
        <v>73</v>
      </c>
      <c r="B76" s="87"/>
      <c r="C76" s="81" t="s">
        <v>228</v>
      </c>
      <c r="D76" s="56"/>
      <c r="E76" s="14"/>
      <c r="F76" s="63" t="s">
        <v>220</v>
      </c>
      <c r="G76" s="58" t="s">
        <v>200</v>
      </c>
      <c r="H76" s="91"/>
      <c r="I76" s="91"/>
      <c r="J76" s="78">
        <v>52.75</v>
      </c>
      <c r="K76" s="76">
        <v>370</v>
      </c>
      <c r="L76" s="31">
        <v>1</v>
      </c>
      <c r="M76" s="15"/>
      <c r="N76" s="34" t="s">
        <v>98</v>
      </c>
      <c r="O76" s="18"/>
      <c r="P76" s="18">
        <v>1</v>
      </c>
      <c r="Q76" s="26"/>
      <c r="R76" s="19"/>
      <c r="S76" s="20"/>
      <c r="U76" t="s">
        <v>118</v>
      </c>
    </row>
    <row r="77" spans="1:21" ht="34.5" customHeight="1" thickBot="1" x14ac:dyDescent="0.45">
      <c r="A77" s="53">
        <v>74</v>
      </c>
      <c r="B77" s="87">
        <v>0</v>
      </c>
      <c r="C77" s="81" t="s">
        <v>228</v>
      </c>
      <c r="D77" s="56"/>
      <c r="E77" s="14"/>
      <c r="F77" s="64" t="s">
        <v>222</v>
      </c>
      <c r="G77" s="59" t="s">
        <v>58</v>
      </c>
      <c r="H77" s="91"/>
      <c r="I77" s="91"/>
      <c r="J77" s="78">
        <v>48.75</v>
      </c>
      <c r="K77" s="76">
        <v>512</v>
      </c>
      <c r="L77" s="31">
        <v>1</v>
      </c>
      <c r="M77" s="15">
        <v>1</v>
      </c>
      <c r="N77" s="34" t="s">
        <v>99</v>
      </c>
      <c r="O77" s="18"/>
      <c r="P77" s="18"/>
      <c r="Q77" s="26"/>
      <c r="R77" s="19"/>
      <c r="S77" s="20"/>
    </row>
    <row r="78" spans="1:21" ht="34.5" customHeight="1" thickBot="1" x14ac:dyDescent="0.45">
      <c r="A78" s="53">
        <v>75</v>
      </c>
      <c r="B78" s="87">
        <v>0</v>
      </c>
      <c r="C78" s="81" t="s">
        <v>228</v>
      </c>
      <c r="D78" s="56"/>
      <c r="E78" s="14"/>
      <c r="F78" s="64" t="s">
        <v>165</v>
      </c>
      <c r="G78" s="59" t="s">
        <v>59</v>
      </c>
      <c r="H78" s="91"/>
      <c r="I78" s="91"/>
      <c r="J78" s="78">
        <v>41.816666599999998</v>
      </c>
      <c r="K78" s="76">
        <v>1381</v>
      </c>
      <c r="L78" s="31">
        <v>1</v>
      </c>
      <c r="M78" s="15">
        <v>1</v>
      </c>
      <c r="N78" s="34" t="s">
        <v>99</v>
      </c>
      <c r="O78" s="18"/>
      <c r="P78" s="18"/>
      <c r="Q78" s="26"/>
      <c r="R78" s="19"/>
      <c r="S78" s="20"/>
    </row>
    <row r="79" spans="1:21" ht="34.5" customHeight="1" thickBot="1" x14ac:dyDescent="0.45">
      <c r="A79" s="53">
        <v>76</v>
      </c>
      <c r="B79" s="87">
        <v>0</v>
      </c>
      <c r="C79" s="81" t="s">
        <v>228</v>
      </c>
      <c r="D79" s="56" t="s">
        <v>229</v>
      </c>
      <c r="E79" s="14"/>
      <c r="F79" s="65" t="s">
        <v>277</v>
      </c>
      <c r="G79" s="60" t="s">
        <v>60</v>
      </c>
      <c r="H79" s="126">
        <v>18.100000000000001</v>
      </c>
      <c r="I79" s="141">
        <v>29.6</v>
      </c>
      <c r="J79" s="78">
        <v>41.732500000000002</v>
      </c>
      <c r="K79" s="76">
        <v>51</v>
      </c>
      <c r="L79" s="31">
        <v>1</v>
      </c>
      <c r="M79" s="16">
        <v>1</v>
      </c>
      <c r="N79" s="34" t="s">
        <v>100</v>
      </c>
      <c r="O79" s="18">
        <v>1</v>
      </c>
      <c r="P79" s="18"/>
      <c r="Q79" s="26"/>
      <c r="R79" s="19">
        <v>1</v>
      </c>
      <c r="S79" s="20">
        <v>1</v>
      </c>
    </row>
    <row r="80" spans="1:21" ht="34.5" customHeight="1" thickBot="1" x14ac:dyDescent="0.45">
      <c r="A80" s="53">
        <v>77</v>
      </c>
      <c r="B80" s="87">
        <v>0</v>
      </c>
      <c r="C80" s="81"/>
      <c r="D80" s="56" t="s">
        <v>229</v>
      </c>
      <c r="E80" s="14"/>
      <c r="F80" s="65" t="s">
        <v>166</v>
      </c>
      <c r="G80" s="60" t="s">
        <v>23</v>
      </c>
      <c r="H80" s="124">
        <v>16.600000000000001</v>
      </c>
      <c r="I80" s="142">
        <v>28.2</v>
      </c>
      <c r="J80" s="78">
        <v>42.740299999999998</v>
      </c>
      <c r="K80" s="76">
        <v>196.1</v>
      </c>
      <c r="L80" s="31">
        <v>1</v>
      </c>
      <c r="M80" s="15">
        <v>1</v>
      </c>
      <c r="N80" s="34" t="s">
        <v>100</v>
      </c>
      <c r="O80" s="18">
        <v>1</v>
      </c>
      <c r="P80" s="18"/>
      <c r="Q80" s="26"/>
      <c r="R80" s="19"/>
      <c r="S80" s="20"/>
    </row>
    <row r="81" spans="1:19" ht="34.5" customHeight="1" thickBot="1" x14ac:dyDescent="0.45">
      <c r="A81" s="53">
        <v>78</v>
      </c>
      <c r="B81" s="87">
        <v>0</v>
      </c>
      <c r="C81" s="81" t="s">
        <v>228</v>
      </c>
      <c r="D81" s="56" t="s">
        <v>229</v>
      </c>
      <c r="E81" s="14"/>
      <c r="F81" s="65" t="s">
        <v>278</v>
      </c>
      <c r="G81" s="60" t="s">
        <v>61</v>
      </c>
      <c r="H81" s="126">
        <v>18.8</v>
      </c>
      <c r="I81" s="134">
        <v>26.4</v>
      </c>
      <c r="J81" s="78">
        <v>43.891399999999997</v>
      </c>
      <c r="K81" s="76">
        <v>236.8</v>
      </c>
      <c r="L81" s="31">
        <v>1</v>
      </c>
      <c r="M81" s="16">
        <v>1</v>
      </c>
      <c r="N81" s="34" t="s">
        <v>100</v>
      </c>
      <c r="O81" s="18">
        <v>1</v>
      </c>
      <c r="P81" s="18"/>
      <c r="Q81" s="26"/>
      <c r="R81" s="19">
        <v>1</v>
      </c>
      <c r="S81" s="20">
        <v>1</v>
      </c>
    </row>
    <row r="82" spans="1:19" ht="34.5" customHeight="1" thickBot="1" x14ac:dyDescent="0.45">
      <c r="A82" s="53">
        <v>79</v>
      </c>
      <c r="B82" s="87">
        <v>0</v>
      </c>
      <c r="C82" s="81" t="s">
        <v>228</v>
      </c>
      <c r="D82" s="56" t="s">
        <v>229</v>
      </c>
      <c r="E82" s="14"/>
      <c r="F82" s="65" t="s">
        <v>167</v>
      </c>
      <c r="G82" s="60" t="s">
        <v>22</v>
      </c>
      <c r="H82" s="123">
        <v>15.2</v>
      </c>
      <c r="I82" s="140">
        <v>27.5</v>
      </c>
      <c r="J82" s="78">
        <v>42.978299999999997</v>
      </c>
      <c r="K82" s="75">
        <v>263.3</v>
      </c>
      <c r="L82" s="31">
        <v>1</v>
      </c>
      <c r="M82" s="15">
        <v>1</v>
      </c>
      <c r="N82" s="34" t="s">
        <v>100</v>
      </c>
      <c r="O82" s="18">
        <v>1</v>
      </c>
      <c r="P82" s="18"/>
      <c r="Q82" s="26"/>
      <c r="R82" s="19"/>
      <c r="S82" s="20"/>
    </row>
    <row r="83" spans="1:19" ht="34.5" customHeight="1" thickBot="1" x14ac:dyDescent="0.45">
      <c r="A83" s="53">
        <v>80</v>
      </c>
      <c r="B83" s="87">
        <v>0</v>
      </c>
      <c r="C83" s="81" t="s">
        <v>228</v>
      </c>
      <c r="D83" s="56" t="s">
        <v>229</v>
      </c>
      <c r="E83" s="14"/>
      <c r="F83" s="88" t="s">
        <v>279</v>
      </c>
      <c r="G83" s="60" t="s">
        <v>21</v>
      </c>
      <c r="H83" s="125">
        <v>17.100000000000001</v>
      </c>
      <c r="I83" s="140">
        <v>27</v>
      </c>
      <c r="J83" s="78">
        <v>45.934199999999997</v>
      </c>
      <c r="K83" s="76">
        <v>115</v>
      </c>
      <c r="L83" s="31">
        <v>1</v>
      </c>
      <c r="M83" s="16">
        <v>1</v>
      </c>
      <c r="N83" s="34" t="s">
        <v>100</v>
      </c>
      <c r="O83" s="18">
        <v>1</v>
      </c>
      <c r="P83" s="18"/>
      <c r="Q83" s="26"/>
      <c r="R83" s="19">
        <v>1</v>
      </c>
      <c r="S83" s="20">
        <v>1</v>
      </c>
    </row>
    <row r="84" spans="1:19" ht="34.5" customHeight="1" thickBot="1" x14ac:dyDescent="0.45">
      <c r="A84" s="53">
        <v>81</v>
      </c>
      <c r="B84" s="87">
        <v>0</v>
      </c>
      <c r="C84" s="81"/>
      <c r="D84" s="56" t="s">
        <v>229</v>
      </c>
      <c r="E84" s="14"/>
      <c r="F84" s="65" t="s">
        <v>168</v>
      </c>
      <c r="G84" s="60" t="s">
        <v>25</v>
      </c>
      <c r="H84" s="120">
        <v>9.6999999999999993</v>
      </c>
      <c r="I84" s="130">
        <v>22.8</v>
      </c>
      <c r="J84" s="78">
        <v>48.887799999999999</v>
      </c>
      <c r="K84" s="75">
        <v>90</v>
      </c>
      <c r="L84" s="31">
        <v>1</v>
      </c>
      <c r="M84" s="15">
        <v>1</v>
      </c>
      <c r="N84" s="34" t="s">
        <v>100</v>
      </c>
      <c r="O84" s="18">
        <v>1</v>
      </c>
      <c r="P84" s="18"/>
      <c r="Q84" s="26"/>
      <c r="R84" s="19"/>
      <c r="S84" s="20"/>
    </row>
    <row r="85" spans="1:19" ht="34.5" customHeight="1" thickBot="1" x14ac:dyDescent="0.45">
      <c r="A85" s="53">
        <v>82</v>
      </c>
      <c r="B85" s="87">
        <v>0</v>
      </c>
      <c r="C85" s="81" t="s">
        <v>228</v>
      </c>
      <c r="D85" s="56" t="s">
        <v>229</v>
      </c>
      <c r="E85" s="14"/>
      <c r="F85" s="65" t="s">
        <v>169</v>
      </c>
      <c r="G85" s="60" t="s">
        <v>201</v>
      </c>
      <c r="H85" s="118">
        <v>7.6</v>
      </c>
      <c r="I85" s="123">
        <v>15.7</v>
      </c>
      <c r="J85" s="78">
        <v>51.726100000000002</v>
      </c>
      <c r="K85" s="75">
        <v>173.9</v>
      </c>
      <c r="L85" s="31">
        <v>1</v>
      </c>
      <c r="M85" s="16">
        <v>1</v>
      </c>
      <c r="N85" s="34" t="s">
        <v>100</v>
      </c>
      <c r="O85" s="18">
        <v>1</v>
      </c>
      <c r="P85" s="18"/>
      <c r="Q85" s="26"/>
      <c r="R85" s="19"/>
      <c r="S85" s="20"/>
    </row>
    <row r="86" spans="1:19" ht="34.5" customHeight="1" thickBot="1" x14ac:dyDescent="0.45">
      <c r="A86" s="53">
        <v>83</v>
      </c>
      <c r="B86" s="87">
        <v>0</v>
      </c>
      <c r="C86" s="81"/>
      <c r="D86" s="56"/>
      <c r="E86" s="14"/>
      <c r="F86" s="65" t="s">
        <v>169</v>
      </c>
      <c r="G86" s="60" t="s">
        <v>62</v>
      </c>
      <c r="H86" s="91"/>
      <c r="I86" s="91"/>
      <c r="J86" s="78">
        <v>52.348100000000002</v>
      </c>
      <c r="K86" s="75">
        <v>359.4</v>
      </c>
      <c r="L86" s="31">
        <v>1</v>
      </c>
      <c r="M86" s="15"/>
      <c r="N86" s="34" t="s">
        <v>100</v>
      </c>
      <c r="O86" s="18">
        <v>1</v>
      </c>
      <c r="P86" s="18"/>
      <c r="Q86" s="26"/>
      <c r="R86" s="19"/>
      <c r="S86" s="20"/>
    </row>
    <row r="87" spans="1:19" ht="34.5" customHeight="1" thickBot="1" x14ac:dyDescent="0.45">
      <c r="A87" s="53">
        <v>84</v>
      </c>
      <c r="B87" s="87">
        <v>0</v>
      </c>
      <c r="C87" s="81"/>
      <c r="D87" s="56"/>
      <c r="E87" s="14"/>
      <c r="F87" s="65" t="s">
        <v>271</v>
      </c>
      <c r="G87" s="60" t="s">
        <v>202</v>
      </c>
      <c r="H87" s="91"/>
      <c r="I87" s="91"/>
      <c r="J87" s="78">
        <v>52.036099999999998</v>
      </c>
      <c r="K87" s="76">
        <v>514.5</v>
      </c>
      <c r="L87" s="31">
        <v>1</v>
      </c>
      <c r="M87" s="15"/>
      <c r="N87" s="34" t="s">
        <v>100</v>
      </c>
      <c r="O87" s="18">
        <v>1</v>
      </c>
      <c r="P87" s="18"/>
      <c r="Q87" s="26"/>
      <c r="R87" s="19"/>
      <c r="S87" s="20"/>
    </row>
    <row r="88" spans="1:19" ht="34.5" customHeight="1" thickBot="1" x14ac:dyDescent="0.45">
      <c r="A88" s="53">
        <v>85</v>
      </c>
      <c r="B88" s="87">
        <v>0</v>
      </c>
      <c r="C88" s="81" t="s">
        <v>228</v>
      </c>
      <c r="D88" s="56" t="s">
        <v>229</v>
      </c>
      <c r="E88" s="14"/>
      <c r="F88" s="65" t="s">
        <v>169</v>
      </c>
      <c r="G88" s="60" t="s">
        <v>203</v>
      </c>
      <c r="H88" s="117">
        <v>6.3</v>
      </c>
      <c r="I88" s="121">
        <v>10.9</v>
      </c>
      <c r="J88" s="78">
        <v>52.974400000000003</v>
      </c>
      <c r="K88" s="75">
        <v>433.9</v>
      </c>
      <c r="L88" s="31">
        <v>1</v>
      </c>
      <c r="M88" s="15">
        <v>1</v>
      </c>
      <c r="N88" s="34" t="s">
        <v>100</v>
      </c>
      <c r="O88" s="18">
        <v>1</v>
      </c>
      <c r="P88" s="18"/>
      <c r="Q88" s="26"/>
      <c r="R88" s="19"/>
      <c r="S88" s="20"/>
    </row>
    <row r="89" spans="1:19" ht="34.5" customHeight="1" thickBot="1" x14ac:dyDescent="0.45">
      <c r="A89" s="53">
        <v>86</v>
      </c>
      <c r="B89" s="87">
        <v>0</v>
      </c>
      <c r="C89" s="81"/>
      <c r="D89" s="56"/>
      <c r="E89" s="14"/>
      <c r="F89" s="65" t="s">
        <v>237</v>
      </c>
      <c r="G89" s="60" t="s">
        <v>204</v>
      </c>
      <c r="H89" s="91"/>
      <c r="I89" s="91"/>
      <c r="J89" s="78">
        <v>53.468899999999998</v>
      </c>
      <c r="K89" s="75">
        <v>291.60000000000002</v>
      </c>
      <c r="L89" s="31">
        <v>1</v>
      </c>
      <c r="M89" s="15"/>
      <c r="N89" s="34" t="s">
        <v>100</v>
      </c>
      <c r="O89" s="18">
        <v>1</v>
      </c>
      <c r="P89" s="18"/>
      <c r="Q89" s="26"/>
      <c r="R89" s="19"/>
      <c r="S89" s="20"/>
    </row>
    <row r="90" spans="1:19" ht="34.5" customHeight="1" thickBot="1" x14ac:dyDescent="0.45">
      <c r="A90" s="53">
        <v>87</v>
      </c>
      <c r="B90" s="87">
        <v>0</v>
      </c>
      <c r="C90" s="81"/>
      <c r="D90" s="56" t="s">
        <v>229</v>
      </c>
      <c r="E90" s="14"/>
      <c r="F90" s="65" t="s">
        <v>235</v>
      </c>
      <c r="G90" s="60" t="s">
        <v>205</v>
      </c>
      <c r="H90" s="119">
        <v>8.4</v>
      </c>
      <c r="I90" s="138">
        <v>14.3</v>
      </c>
      <c r="J90" s="78">
        <v>50.782800000000002</v>
      </c>
      <c r="K90" s="75">
        <v>716.7</v>
      </c>
      <c r="L90" s="31">
        <v>1</v>
      </c>
      <c r="M90" s="15">
        <v>1</v>
      </c>
      <c r="N90" s="34" t="s">
        <v>100</v>
      </c>
      <c r="O90" s="18">
        <v>1</v>
      </c>
      <c r="P90" s="18"/>
      <c r="Q90" s="26"/>
      <c r="R90" s="19"/>
      <c r="S90" s="20"/>
    </row>
    <row r="91" spans="1:19" ht="34.5" customHeight="1" thickBot="1" x14ac:dyDescent="0.45">
      <c r="A91" s="53">
        <v>88</v>
      </c>
      <c r="B91" s="87">
        <v>0</v>
      </c>
      <c r="C91" s="81" t="s">
        <v>228</v>
      </c>
      <c r="D91" s="56" t="s">
        <v>229</v>
      </c>
      <c r="E91" s="14"/>
      <c r="F91" s="65" t="s">
        <v>238</v>
      </c>
      <c r="G91" s="60" t="s">
        <v>227</v>
      </c>
      <c r="H91" s="119">
        <v>8.9</v>
      </c>
      <c r="I91" s="139">
        <v>13.9</v>
      </c>
      <c r="J91" s="78">
        <v>50.478099999999998</v>
      </c>
      <c r="K91" s="76">
        <v>734.8</v>
      </c>
      <c r="L91" s="31">
        <v>1</v>
      </c>
      <c r="M91" s="15">
        <v>1</v>
      </c>
      <c r="N91" s="34" t="s">
        <v>100</v>
      </c>
      <c r="O91" s="18">
        <v>1</v>
      </c>
      <c r="P91" s="18"/>
      <c r="Q91" s="26"/>
      <c r="R91" s="19"/>
      <c r="S91" s="20"/>
    </row>
    <row r="92" spans="1:19" ht="34.5" customHeight="1" thickBot="1" x14ac:dyDescent="0.45">
      <c r="A92" s="53">
        <v>89</v>
      </c>
      <c r="B92" s="87">
        <v>0</v>
      </c>
      <c r="C92" s="81"/>
      <c r="D92" s="56"/>
      <c r="E92" s="14"/>
      <c r="F92" s="65" t="s">
        <v>170</v>
      </c>
      <c r="G92" s="60" t="s">
        <v>206</v>
      </c>
      <c r="H92" s="91"/>
      <c r="I92" s="91"/>
      <c r="J92" s="78">
        <v>50.236899999999999</v>
      </c>
      <c r="K92" s="75">
        <v>581.4</v>
      </c>
      <c r="L92" s="31">
        <v>1</v>
      </c>
      <c r="M92" s="15">
        <v>1</v>
      </c>
      <c r="N92" s="34" t="s">
        <v>100</v>
      </c>
      <c r="O92" s="18">
        <v>1</v>
      </c>
      <c r="P92" s="18"/>
      <c r="Q92" s="26"/>
      <c r="R92" s="19"/>
      <c r="S92" s="20"/>
    </row>
    <row r="93" spans="1:19" ht="34.5" customHeight="1" thickBot="1" x14ac:dyDescent="0.45">
      <c r="A93" s="53">
        <v>90</v>
      </c>
      <c r="B93" s="87"/>
      <c r="C93" s="81"/>
      <c r="D93" s="56"/>
      <c r="E93" s="14"/>
      <c r="F93" s="65" t="s">
        <v>170</v>
      </c>
      <c r="G93" s="60" t="s">
        <v>31</v>
      </c>
      <c r="H93" s="91"/>
      <c r="I93" s="91"/>
      <c r="J93" s="78">
        <v>49.3414</v>
      </c>
      <c r="K93" s="75">
        <v>597.4</v>
      </c>
      <c r="L93" s="31">
        <v>1</v>
      </c>
      <c r="M93" s="15"/>
      <c r="N93" s="34" t="s">
        <v>100</v>
      </c>
      <c r="O93" s="18">
        <v>1</v>
      </c>
      <c r="P93" s="18"/>
      <c r="Q93" s="26"/>
      <c r="R93" s="19"/>
      <c r="S93" s="20"/>
    </row>
    <row r="94" spans="1:19" ht="34.5" customHeight="1" thickBot="1" x14ac:dyDescent="0.45">
      <c r="A94" s="53">
        <v>91</v>
      </c>
      <c r="B94" s="87">
        <v>0</v>
      </c>
      <c r="C94" s="81" t="s">
        <v>228</v>
      </c>
      <c r="D94" s="56"/>
      <c r="E94" s="14"/>
      <c r="F94" s="65" t="s">
        <v>280</v>
      </c>
      <c r="G94" s="60" t="s">
        <v>14</v>
      </c>
      <c r="H94" s="91"/>
      <c r="I94" s="91"/>
      <c r="J94" s="78">
        <v>49.25</v>
      </c>
      <c r="K94" s="75">
        <v>649.70000000000005</v>
      </c>
      <c r="L94" s="31">
        <v>1</v>
      </c>
      <c r="M94" s="15"/>
      <c r="N94" s="34" t="s">
        <v>100</v>
      </c>
      <c r="O94" s="18">
        <v>1</v>
      </c>
      <c r="P94" s="18"/>
      <c r="Q94" s="26"/>
      <c r="R94" s="19"/>
      <c r="S94" s="20"/>
    </row>
    <row r="95" spans="1:19" ht="34.5" customHeight="1" thickBot="1" x14ac:dyDescent="0.45">
      <c r="A95" s="53">
        <v>92</v>
      </c>
      <c r="B95" s="87"/>
      <c r="C95" s="81"/>
      <c r="D95" s="56"/>
      <c r="E95" s="14"/>
      <c r="F95" s="65" t="s">
        <v>170</v>
      </c>
      <c r="G95" s="60" t="s">
        <v>102</v>
      </c>
      <c r="H95" s="91"/>
      <c r="I95" s="91"/>
      <c r="J95" s="78">
        <v>49.132800000000003</v>
      </c>
      <c r="K95" s="75">
        <v>617.29999999999995</v>
      </c>
      <c r="L95" s="31">
        <v>1</v>
      </c>
      <c r="M95" s="15"/>
      <c r="N95" s="34" t="s">
        <v>100</v>
      </c>
      <c r="O95" s="18">
        <v>1</v>
      </c>
      <c r="P95" s="18"/>
      <c r="Q95" s="26"/>
      <c r="R95" s="19"/>
      <c r="S95" s="20"/>
    </row>
    <row r="96" spans="1:19" ht="34.5" customHeight="1" thickBot="1" x14ac:dyDescent="0.45">
      <c r="A96" s="53">
        <v>93</v>
      </c>
      <c r="B96" s="87">
        <v>0</v>
      </c>
      <c r="C96" s="81"/>
      <c r="D96" s="56"/>
      <c r="E96" s="14"/>
      <c r="F96" s="65" t="s">
        <v>170</v>
      </c>
      <c r="G96" s="60" t="s">
        <v>63</v>
      </c>
      <c r="H96" s="91"/>
      <c r="I96" s="91"/>
      <c r="J96" s="78">
        <v>49.283099999999997</v>
      </c>
      <c r="K96" s="75">
        <v>654.9</v>
      </c>
      <c r="L96" s="31">
        <v>1</v>
      </c>
      <c r="M96" s="15"/>
      <c r="N96" s="34" t="s">
        <v>100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228</v>
      </c>
      <c r="D97" s="56"/>
      <c r="E97" s="14"/>
      <c r="F97" s="65" t="s">
        <v>171</v>
      </c>
      <c r="G97" s="60" t="s">
        <v>26</v>
      </c>
      <c r="H97" s="91"/>
      <c r="I97" s="91"/>
      <c r="J97" s="78">
        <v>47.180799999999998</v>
      </c>
      <c r="K97" s="76">
        <v>997</v>
      </c>
      <c r="L97" s="31">
        <v>1</v>
      </c>
      <c r="M97" s="15"/>
      <c r="N97" s="34" t="s">
        <v>100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>
        <v>0</v>
      </c>
      <c r="C98" s="81"/>
      <c r="D98" s="56" t="s">
        <v>229</v>
      </c>
      <c r="E98" s="14"/>
      <c r="F98" s="65" t="s">
        <v>172</v>
      </c>
      <c r="G98" s="60" t="s">
        <v>20</v>
      </c>
      <c r="H98" s="117">
        <v>6.5</v>
      </c>
      <c r="I98" s="123">
        <v>15.8</v>
      </c>
      <c r="J98" s="78">
        <v>41.86</v>
      </c>
      <c r="K98" s="76">
        <v>1434.5</v>
      </c>
      <c r="L98" s="31">
        <v>1</v>
      </c>
      <c r="M98" s="15">
        <v>1</v>
      </c>
      <c r="N98" s="34" t="s">
        <v>100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 t="s">
        <v>229</v>
      </c>
      <c r="E99" s="14"/>
      <c r="F99" s="65" t="s">
        <v>173</v>
      </c>
      <c r="G99" s="60" t="s">
        <v>28</v>
      </c>
      <c r="H99" s="112">
        <v>1.3</v>
      </c>
      <c r="I99" s="123">
        <v>15.6</v>
      </c>
      <c r="J99" s="78">
        <v>32.269399999999997</v>
      </c>
      <c r="K99" s="76">
        <v>4686</v>
      </c>
      <c r="L99" s="31">
        <v>1</v>
      </c>
      <c r="M99" s="15">
        <v>1</v>
      </c>
      <c r="N99" s="34" t="s">
        <v>100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/>
      <c r="D100" s="56" t="s">
        <v>229</v>
      </c>
      <c r="E100" s="14"/>
      <c r="F100" s="65" t="s">
        <v>239</v>
      </c>
      <c r="G100" s="60" t="s">
        <v>27</v>
      </c>
      <c r="H100" s="108">
        <v>-3.1</v>
      </c>
      <c r="I100" s="125">
        <v>17.2</v>
      </c>
      <c r="J100" s="78">
        <v>33.805300000000003</v>
      </c>
      <c r="K100" s="76">
        <v>4415.6000000000004</v>
      </c>
      <c r="L100" s="31">
        <v>1</v>
      </c>
      <c r="M100" s="15">
        <v>1</v>
      </c>
      <c r="N100" s="34" t="s">
        <v>100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 t="s">
        <v>228</v>
      </c>
      <c r="D101" s="56" t="s">
        <v>229</v>
      </c>
      <c r="E101" s="14"/>
      <c r="F101" s="65" t="s">
        <v>240</v>
      </c>
      <c r="G101" s="60" t="s">
        <v>310</v>
      </c>
      <c r="H101" s="110">
        <v>-0.5</v>
      </c>
      <c r="I101" s="139">
        <v>13.5</v>
      </c>
      <c r="J101" s="78">
        <v>35.215800000000002</v>
      </c>
      <c r="K101" s="76">
        <v>4612</v>
      </c>
      <c r="L101" s="31">
        <v>1</v>
      </c>
      <c r="M101" s="16">
        <v>1</v>
      </c>
      <c r="N101" s="34" t="s">
        <v>100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 t="s">
        <v>228</v>
      </c>
      <c r="D102" s="56" t="s">
        <v>229</v>
      </c>
      <c r="E102" s="14"/>
      <c r="F102" s="65" t="s">
        <v>241</v>
      </c>
      <c r="G102" s="60" t="s">
        <v>19</v>
      </c>
      <c r="H102" s="119">
        <v>8.1999999999999993</v>
      </c>
      <c r="I102" s="129">
        <v>21.6</v>
      </c>
      <c r="J102" s="78">
        <v>41.804699999999997</v>
      </c>
      <c r="K102" s="76">
        <v>1773.7</v>
      </c>
      <c r="L102" s="31">
        <v>1</v>
      </c>
      <c r="M102" s="15">
        <v>1</v>
      </c>
      <c r="N102" s="34" t="s">
        <v>100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/>
      <c r="D103" s="56" t="s">
        <v>229</v>
      </c>
      <c r="E103" s="14"/>
      <c r="F103" s="65" t="s">
        <v>174</v>
      </c>
      <c r="G103" s="60" t="s">
        <v>29</v>
      </c>
      <c r="H103" s="117">
        <v>6.9</v>
      </c>
      <c r="I103" s="126">
        <v>18.399999999999999</v>
      </c>
      <c r="J103" s="78">
        <v>43.594999999999999</v>
      </c>
      <c r="K103" s="75">
        <v>1679.2</v>
      </c>
      <c r="L103" s="31">
        <v>1</v>
      </c>
      <c r="M103" s="16">
        <v>1</v>
      </c>
      <c r="N103" s="34" t="s">
        <v>100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2"/>
      <c r="D104" s="56" t="s">
        <v>229</v>
      </c>
      <c r="E104" s="14"/>
      <c r="F104" s="65" t="s">
        <v>175</v>
      </c>
      <c r="G104" s="60" t="s">
        <v>207</v>
      </c>
      <c r="H104" s="117">
        <v>6.5</v>
      </c>
      <c r="I104" s="123">
        <v>15.7</v>
      </c>
      <c r="J104" s="78">
        <v>46.664999999999999</v>
      </c>
      <c r="K104" s="76">
        <v>1219.0999999999999</v>
      </c>
      <c r="L104" s="31">
        <v>1</v>
      </c>
      <c r="M104" s="16">
        <v>1</v>
      </c>
      <c r="N104" s="34" t="s">
        <v>100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>
        <v>0</v>
      </c>
      <c r="C105" s="82" t="s">
        <v>228</v>
      </c>
      <c r="D105" s="56"/>
      <c r="E105" s="14"/>
      <c r="F105" s="65" t="s">
        <v>242</v>
      </c>
      <c r="G105" s="60" t="s">
        <v>15</v>
      </c>
      <c r="H105" s="91"/>
      <c r="I105" s="91"/>
      <c r="J105" s="78">
        <v>47.741100000000003</v>
      </c>
      <c r="K105" s="77">
        <v>734.8</v>
      </c>
      <c r="L105" s="31">
        <v>1</v>
      </c>
      <c r="M105" s="15"/>
      <c r="N105" s="34" t="s">
        <v>100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/>
      <c r="C106" s="82" t="s">
        <v>228</v>
      </c>
      <c r="D106" s="56" t="s">
        <v>229</v>
      </c>
      <c r="E106" s="14"/>
      <c r="F106" s="65" t="s">
        <v>281</v>
      </c>
      <c r="G106" s="60" t="s">
        <v>64</v>
      </c>
      <c r="H106" s="131">
        <v>23.4</v>
      </c>
      <c r="I106" s="145">
        <v>33.700000000000003</v>
      </c>
      <c r="J106" s="78">
        <v>42.950299999999999</v>
      </c>
      <c r="K106" s="76">
        <v>39</v>
      </c>
      <c r="L106" s="31">
        <v>1</v>
      </c>
      <c r="M106" s="15"/>
      <c r="N106" s="34" t="s">
        <v>100</v>
      </c>
      <c r="O106" s="18"/>
      <c r="P106" s="18"/>
      <c r="Q106" s="26"/>
      <c r="R106" s="19"/>
      <c r="S106" s="20">
        <v>1</v>
      </c>
    </row>
    <row r="107" spans="1:19" ht="34.5" customHeight="1" thickBot="1" x14ac:dyDescent="0.45">
      <c r="A107" s="53">
        <v>104</v>
      </c>
      <c r="B107" s="87">
        <v>0</v>
      </c>
      <c r="C107" s="82" t="s">
        <v>228</v>
      </c>
      <c r="D107" s="56" t="s">
        <v>229</v>
      </c>
      <c r="E107" s="14"/>
      <c r="F107" s="88" t="s">
        <v>282</v>
      </c>
      <c r="G107" s="60" t="s">
        <v>16</v>
      </c>
      <c r="H107" s="120">
        <v>9.8000000000000007</v>
      </c>
      <c r="I107" s="127">
        <v>19.899999999999999</v>
      </c>
      <c r="J107" s="78">
        <v>43.789200000000001</v>
      </c>
      <c r="K107" s="76">
        <v>935</v>
      </c>
      <c r="L107" s="31">
        <v>1</v>
      </c>
      <c r="M107" s="16">
        <v>1</v>
      </c>
      <c r="N107" s="34" t="s">
        <v>100</v>
      </c>
      <c r="O107" s="18">
        <v>1</v>
      </c>
      <c r="P107" s="18"/>
      <c r="Q107" s="26"/>
      <c r="R107" s="19">
        <v>1</v>
      </c>
      <c r="S107" s="20">
        <v>1</v>
      </c>
    </row>
    <row r="108" spans="1:19" ht="34.5" customHeight="1" thickBot="1" x14ac:dyDescent="0.45">
      <c r="A108" s="53">
        <v>105</v>
      </c>
      <c r="B108" s="87">
        <v>0</v>
      </c>
      <c r="C108" s="82" t="s">
        <v>228</v>
      </c>
      <c r="D108" s="56" t="s">
        <v>229</v>
      </c>
      <c r="E108" s="14"/>
      <c r="F108" s="65" t="s">
        <v>243</v>
      </c>
      <c r="G108" s="60" t="s">
        <v>17</v>
      </c>
      <c r="H108" s="115">
        <v>4</v>
      </c>
      <c r="I108" s="124">
        <v>16.100000000000001</v>
      </c>
      <c r="J108" s="78">
        <v>43.0336</v>
      </c>
      <c r="K108" s="75">
        <v>2459.1</v>
      </c>
      <c r="L108" s="31">
        <v>1</v>
      </c>
      <c r="M108" s="15">
        <v>1</v>
      </c>
      <c r="N108" s="34" t="s">
        <v>100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/>
      <c r="C109" s="82"/>
      <c r="D109" s="56"/>
      <c r="E109" s="14"/>
      <c r="F109" s="65" t="s">
        <v>244</v>
      </c>
      <c r="G109" s="60" t="s">
        <v>30</v>
      </c>
      <c r="H109" s="91"/>
      <c r="I109" s="91"/>
      <c r="J109" s="78">
        <v>43.1417</v>
      </c>
      <c r="K109" s="76">
        <v>1850.8</v>
      </c>
      <c r="L109" s="31">
        <v>1</v>
      </c>
      <c r="M109" s="15"/>
      <c r="N109" s="34" t="s">
        <v>100</v>
      </c>
      <c r="O109" s="18">
        <v>1</v>
      </c>
      <c r="P109" s="18"/>
      <c r="Q109" s="26"/>
      <c r="R109" s="19"/>
      <c r="S109" s="20"/>
    </row>
    <row r="110" spans="1:19" ht="34.5" customHeight="1" thickBot="1" x14ac:dyDescent="0.45">
      <c r="A110" s="53">
        <v>107</v>
      </c>
      <c r="B110" s="87">
        <v>0</v>
      </c>
      <c r="C110" s="82" t="s">
        <v>228</v>
      </c>
      <c r="D110" s="56" t="s">
        <v>229</v>
      </c>
      <c r="E110" s="14"/>
      <c r="F110" s="65" t="s">
        <v>245</v>
      </c>
      <c r="G110" s="60" t="s">
        <v>18</v>
      </c>
      <c r="H110" s="118">
        <v>7.6</v>
      </c>
      <c r="I110" s="129">
        <v>21.8</v>
      </c>
      <c r="J110" s="78">
        <v>40.855800000000002</v>
      </c>
      <c r="K110" s="76">
        <v>1153.5</v>
      </c>
      <c r="L110" s="31">
        <v>1</v>
      </c>
      <c r="M110" s="16">
        <v>1</v>
      </c>
      <c r="N110" s="34" t="s">
        <v>100</v>
      </c>
      <c r="O110" s="18">
        <v>1</v>
      </c>
      <c r="P110" s="18"/>
      <c r="Q110" s="26"/>
      <c r="R110" s="19">
        <v>1</v>
      </c>
      <c r="S110" s="20">
        <v>1</v>
      </c>
    </row>
    <row r="111" spans="1:19" ht="34.5" customHeight="1" thickBot="1" x14ac:dyDescent="0.45">
      <c r="A111" s="53">
        <v>108</v>
      </c>
      <c r="B111" s="87"/>
      <c r="C111" s="82" t="s">
        <v>228</v>
      </c>
      <c r="D111" s="56" t="s">
        <v>229</v>
      </c>
      <c r="E111" s="92">
        <v>0</v>
      </c>
      <c r="F111" s="65" t="s">
        <v>236</v>
      </c>
      <c r="G111" s="60" t="s">
        <v>65</v>
      </c>
      <c r="H111" s="126">
        <v>18.100000000000001</v>
      </c>
      <c r="I111" s="144">
        <v>32.1</v>
      </c>
      <c r="J111" s="78">
        <v>39.806100000000001</v>
      </c>
      <c r="K111" s="76">
        <v>32.799999999999997</v>
      </c>
      <c r="L111" s="31">
        <v>1</v>
      </c>
      <c r="M111" s="15"/>
      <c r="N111" s="34" t="s">
        <v>100</v>
      </c>
      <c r="O111" s="18"/>
      <c r="P111" s="18"/>
      <c r="Q111" s="26"/>
      <c r="R111" s="19">
        <v>1</v>
      </c>
      <c r="S111" s="20">
        <v>1</v>
      </c>
    </row>
    <row r="112" spans="1:19" ht="34.5" customHeight="1" thickBot="1" x14ac:dyDescent="0.45">
      <c r="A112" s="53">
        <v>109</v>
      </c>
      <c r="B112" s="87"/>
      <c r="C112" s="82"/>
      <c r="D112" s="56" t="s">
        <v>229</v>
      </c>
      <c r="E112" s="14"/>
      <c r="F112" s="65" t="s">
        <v>246</v>
      </c>
      <c r="G112" s="60" t="s">
        <v>94</v>
      </c>
      <c r="H112" s="131">
        <v>23.8</v>
      </c>
      <c r="I112" s="144">
        <v>32.700000000000003</v>
      </c>
      <c r="J112" s="78">
        <v>39.0747</v>
      </c>
      <c r="K112" s="76">
        <v>2.2000000000000002</v>
      </c>
      <c r="L112" s="31">
        <v>1</v>
      </c>
      <c r="M112" s="15"/>
      <c r="N112" s="34" t="s">
        <v>100</v>
      </c>
      <c r="O112" s="18"/>
      <c r="P112" s="18"/>
      <c r="Q112" s="26"/>
      <c r="R112" s="19">
        <v>1</v>
      </c>
      <c r="S112" s="20">
        <v>1</v>
      </c>
    </row>
    <row r="113" spans="1:19" ht="34.5" customHeight="1" thickBot="1" x14ac:dyDescent="0.45">
      <c r="A113" s="53">
        <v>110</v>
      </c>
      <c r="B113" s="87"/>
      <c r="C113" s="82" t="s">
        <v>228</v>
      </c>
      <c r="D113" s="56" t="s">
        <v>229</v>
      </c>
      <c r="E113" s="14"/>
      <c r="F113" s="65" t="s">
        <v>283</v>
      </c>
      <c r="G113" s="60" t="s">
        <v>66</v>
      </c>
      <c r="H113" s="122">
        <v>12.1</v>
      </c>
      <c r="I113" s="142">
        <v>28.3</v>
      </c>
      <c r="J113" s="78">
        <v>38.471400000000003</v>
      </c>
      <c r="K113" s="75">
        <v>1111.5999999999999</v>
      </c>
      <c r="L113" s="31">
        <v>1</v>
      </c>
      <c r="M113" s="15"/>
      <c r="N113" s="34" t="s">
        <v>100</v>
      </c>
      <c r="O113" s="18"/>
      <c r="P113" s="18"/>
      <c r="Q113" s="26"/>
      <c r="R113" s="19">
        <v>1</v>
      </c>
      <c r="S113" s="20">
        <v>1</v>
      </c>
    </row>
    <row r="114" spans="1:19" ht="34.5" customHeight="1" thickBot="1" x14ac:dyDescent="0.45">
      <c r="A114" s="53">
        <v>111</v>
      </c>
      <c r="B114" s="87"/>
      <c r="C114" s="82" t="s">
        <v>228</v>
      </c>
      <c r="D114" s="54" t="s">
        <v>229</v>
      </c>
      <c r="E114" s="14"/>
      <c r="F114" s="65" t="s">
        <v>284</v>
      </c>
      <c r="G114" s="60" t="s">
        <v>67</v>
      </c>
      <c r="H114" s="129">
        <v>21.3</v>
      </c>
      <c r="I114" s="145">
        <v>33.299999999999997</v>
      </c>
      <c r="J114" s="78">
        <v>38.0197</v>
      </c>
      <c r="K114" s="76">
        <v>89.3</v>
      </c>
      <c r="L114" s="31">
        <v>1</v>
      </c>
      <c r="M114" s="15"/>
      <c r="N114" s="34" t="s">
        <v>100</v>
      </c>
      <c r="O114" s="18"/>
      <c r="P114" s="18"/>
      <c r="Q114" s="26"/>
      <c r="R114" s="19">
        <v>1</v>
      </c>
      <c r="S114" s="20">
        <v>1</v>
      </c>
    </row>
    <row r="115" spans="1:19" ht="34.5" customHeight="1" thickBot="1" x14ac:dyDescent="0.45">
      <c r="A115" s="53">
        <v>112</v>
      </c>
      <c r="B115" s="87"/>
      <c r="C115" s="82" t="s">
        <v>228</v>
      </c>
      <c r="D115" s="54" t="s">
        <v>229</v>
      </c>
      <c r="E115" s="14"/>
      <c r="F115" s="65" t="s">
        <v>285</v>
      </c>
      <c r="G115" s="60" t="s">
        <v>68</v>
      </c>
      <c r="H115" s="124">
        <v>16</v>
      </c>
      <c r="I115" s="143">
        <v>30.7</v>
      </c>
      <c r="J115" s="78">
        <v>37.620600000000003</v>
      </c>
      <c r="K115" s="75">
        <v>776.3</v>
      </c>
      <c r="L115" s="31">
        <v>1</v>
      </c>
      <c r="M115" s="15"/>
      <c r="N115" s="34" t="s">
        <v>100</v>
      </c>
      <c r="O115" s="18"/>
      <c r="P115" s="18"/>
      <c r="Q115" s="26"/>
      <c r="R115" s="19">
        <v>1</v>
      </c>
      <c r="S115" s="20">
        <v>1</v>
      </c>
    </row>
    <row r="116" spans="1:19" ht="34.5" customHeight="1" thickBot="1" x14ac:dyDescent="0.45">
      <c r="A116" s="53">
        <v>113</v>
      </c>
      <c r="B116" s="87"/>
      <c r="C116" s="82" t="s">
        <v>228</v>
      </c>
      <c r="D116" s="54" t="s">
        <v>229</v>
      </c>
      <c r="E116" s="14"/>
      <c r="F116" s="65" t="s">
        <v>247</v>
      </c>
      <c r="G116" s="60" t="s">
        <v>69</v>
      </c>
      <c r="H116" s="118">
        <v>7.9</v>
      </c>
      <c r="I116" s="132">
        <v>24.3</v>
      </c>
      <c r="J116" s="78">
        <v>36.664400000000001</v>
      </c>
      <c r="K116" s="76">
        <v>2434.1999999999998</v>
      </c>
      <c r="L116" s="31">
        <v>1</v>
      </c>
      <c r="M116" s="15"/>
      <c r="N116" s="34" t="s">
        <v>100</v>
      </c>
      <c r="O116" s="18"/>
      <c r="P116" s="18"/>
      <c r="Q116" s="26"/>
      <c r="R116" s="19">
        <v>1</v>
      </c>
      <c r="S116" s="20">
        <v>1</v>
      </c>
    </row>
    <row r="117" spans="1:19" ht="34.5" customHeight="1" thickBot="1" x14ac:dyDescent="0.45">
      <c r="A117" s="53">
        <v>114</v>
      </c>
      <c r="B117" s="87"/>
      <c r="C117" s="82" t="s">
        <v>228</v>
      </c>
      <c r="D117" s="54" t="s">
        <v>229</v>
      </c>
      <c r="E117" s="14"/>
      <c r="F117" s="65" t="s">
        <v>248</v>
      </c>
      <c r="G117" s="60" t="s">
        <v>70</v>
      </c>
      <c r="H117" s="131">
        <v>23.6</v>
      </c>
      <c r="I117" s="146">
        <v>31.9</v>
      </c>
      <c r="J117" s="78">
        <v>36.601900000000001</v>
      </c>
      <c r="K117" s="76">
        <v>170.3</v>
      </c>
      <c r="L117" s="31">
        <v>1</v>
      </c>
      <c r="M117" s="15"/>
      <c r="N117" s="34" t="s">
        <v>100</v>
      </c>
      <c r="O117" s="18"/>
      <c r="P117" s="18"/>
      <c r="Q117" s="26"/>
      <c r="R117" s="19">
        <v>1</v>
      </c>
      <c r="S117" s="20">
        <v>1</v>
      </c>
    </row>
    <row r="118" spans="1:19" ht="34.5" customHeight="1" thickBot="1" x14ac:dyDescent="0.45">
      <c r="A118" s="53">
        <v>115</v>
      </c>
      <c r="B118" s="87"/>
      <c r="C118" s="82" t="s">
        <v>228</v>
      </c>
      <c r="D118" s="54" t="s">
        <v>229</v>
      </c>
      <c r="E118" s="14"/>
      <c r="F118" s="65" t="s">
        <v>249</v>
      </c>
      <c r="G118" s="60" t="s">
        <v>71</v>
      </c>
      <c r="H118" s="127">
        <v>19.600000000000001</v>
      </c>
      <c r="I118" s="145">
        <v>33.1</v>
      </c>
      <c r="J118" s="78">
        <v>34.706400000000002</v>
      </c>
      <c r="K118" s="76">
        <v>110.4</v>
      </c>
      <c r="L118" s="31">
        <v>1</v>
      </c>
      <c r="M118" s="15"/>
      <c r="N118" s="34" t="s">
        <v>100</v>
      </c>
      <c r="O118" s="18"/>
      <c r="P118" s="18"/>
      <c r="Q118" s="26"/>
      <c r="R118" s="19">
        <v>1</v>
      </c>
      <c r="S118" s="20">
        <v>1</v>
      </c>
    </row>
    <row r="119" spans="1:19" ht="34.5" customHeight="1" thickBot="1" x14ac:dyDescent="0.45">
      <c r="A119" s="53">
        <v>116</v>
      </c>
      <c r="B119" s="87"/>
      <c r="C119" s="82" t="s">
        <v>228</v>
      </c>
      <c r="D119" s="54" t="s">
        <v>229</v>
      </c>
      <c r="E119" s="92">
        <v>0</v>
      </c>
      <c r="F119" s="65" t="s">
        <v>250</v>
      </c>
      <c r="G119" s="60" t="s">
        <v>104</v>
      </c>
      <c r="H119" s="130">
        <v>22.6</v>
      </c>
      <c r="I119" s="146">
        <v>31.9</v>
      </c>
      <c r="J119" s="78">
        <v>34.433300000000003</v>
      </c>
      <c r="K119" s="75">
        <v>410</v>
      </c>
      <c r="L119" s="31">
        <v>1</v>
      </c>
      <c r="M119" s="15"/>
      <c r="N119" s="34" t="s">
        <v>100</v>
      </c>
      <c r="O119" s="18"/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/>
      <c r="C120" s="82" t="s">
        <v>228</v>
      </c>
      <c r="D120" s="54" t="s">
        <v>229</v>
      </c>
      <c r="E120" s="14"/>
      <c r="F120" s="65" t="s">
        <v>251</v>
      </c>
      <c r="G120" s="60" t="s">
        <v>72</v>
      </c>
      <c r="H120" s="129">
        <v>21.1</v>
      </c>
      <c r="I120" s="145">
        <v>33.1</v>
      </c>
      <c r="J120" s="78">
        <v>32.693100000000001</v>
      </c>
      <c r="K120" s="76">
        <v>290.8</v>
      </c>
      <c r="L120" s="31">
        <v>1</v>
      </c>
      <c r="M120" s="15"/>
      <c r="N120" s="34" t="s">
        <v>100</v>
      </c>
      <c r="O120" s="18"/>
      <c r="P120" s="18"/>
      <c r="Q120" s="26"/>
      <c r="R120" s="19"/>
      <c r="S120" s="20">
        <v>1</v>
      </c>
    </row>
    <row r="121" spans="1:19" ht="34.5" customHeight="1" thickBot="1" x14ac:dyDescent="0.45">
      <c r="A121" s="53">
        <v>118</v>
      </c>
      <c r="B121" s="87"/>
      <c r="C121" s="82" t="s">
        <v>228</v>
      </c>
      <c r="D121" s="54" t="s">
        <v>229</v>
      </c>
      <c r="E121" s="14"/>
      <c r="F121" s="65" t="s">
        <v>252</v>
      </c>
      <c r="G121" s="60" t="s">
        <v>73</v>
      </c>
      <c r="H121" s="132">
        <v>24.4</v>
      </c>
      <c r="I121" s="148">
        <v>35.6</v>
      </c>
      <c r="J121" s="78">
        <v>28.108599999999999</v>
      </c>
      <c r="K121" s="76">
        <v>114</v>
      </c>
      <c r="L121" s="31">
        <v>1</v>
      </c>
      <c r="M121" s="15"/>
      <c r="N121" s="34" t="s">
        <v>100</v>
      </c>
      <c r="O121" s="18"/>
      <c r="P121" s="18"/>
      <c r="Q121" s="26"/>
      <c r="R121" s="19">
        <v>1</v>
      </c>
      <c r="S121" s="20">
        <v>1</v>
      </c>
    </row>
    <row r="122" spans="1:19" ht="34.5" customHeight="1" thickBot="1" x14ac:dyDescent="0.45">
      <c r="A122" s="53">
        <v>119</v>
      </c>
      <c r="B122" s="87"/>
      <c r="C122" s="82" t="s">
        <v>228</v>
      </c>
      <c r="D122" s="54" t="s">
        <v>229</v>
      </c>
      <c r="E122" s="14"/>
      <c r="F122" s="65" t="s">
        <v>253</v>
      </c>
      <c r="G122" s="60" t="s">
        <v>74</v>
      </c>
      <c r="H122" s="133">
        <v>25.9</v>
      </c>
      <c r="I122" s="147">
        <v>36</v>
      </c>
      <c r="J122" s="78">
        <v>28.59</v>
      </c>
      <c r="K122" s="76">
        <v>47.2</v>
      </c>
      <c r="L122" s="31">
        <v>1</v>
      </c>
      <c r="M122" s="15"/>
      <c r="N122" s="34" t="s">
        <v>100</v>
      </c>
      <c r="O122" s="18"/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228</v>
      </c>
      <c r="D123" s="54" t="s">
        <v>229</v>
      </c>
      <c r="E123" s="14"/>
      <c r="F123" s="65" t="s">
        <v>254</v>
      </c>
      <c r="G123" s="60" t="s">
        <v>75</v>
      </c>
      <c r="H123" s="132">
        <v>24</v>
      </c>
      <c r="I123" s="134">
        <v>26.2</v>
      </c>
      <c r="J123" s="78">
        <v>30.597799999999999</v>
      </c>
      <c r="K123" s="76">
        <v>23.6</v>
      </c>
      <c r="L123" s="31">
        <v>1</v>
      </c>
      <c r="M123" s="15"/>
      <c r="N123" s="34" t="s">
        <v>100</v>
      </c>
      <c r="O123" s="18"/>
      <c r="P123" s="18"/>
      <c r="Q123" s="26"/>
      <c r="R123" s="19">
        <v>1</v>
      </c>
      <c r="S123" s="20">
        <v>1</v>
      </c>
    </row>
    <row r="124" spans="1:19" ht="34.5" customHeight="1" thickBot="1" x14ac:dyDescent="0.45">
      <c r="A124" s="53">
        <v>121</v>
      </c>
      <c r="B124" s="87"/>
      <c r="C124" s="82" t="s">
        <v>228</v>
      </c>
      <c r="D124" s="54" t="s">
        <v>229</v>
      </c>
      <c r="E124" s="14"/>
      <c r="F124" s="65" t="s">
        <v>255</v>
      </c>
      <c r="G124" s="60" t="s">
        <v>76</v>
      </c>
      <c r="H124" s="130">
        <v>22.7</v>
      </c>
      <c r="I124" s="143">
        <v>30.9</v>
      </c>
      <c r="J124" s="78">
        <v>31.9556</v>
      </c>
      <c r="K124" s="76">
        <v>49.8</v>
      </c>
      <c r="L124" s="31">
        <v>1</v>
      </c>
      <c r="M124" s="15"/>
      <c r="N124" s="34" t="s">
        <v>100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228</v>
      </c>
      <c r="D125" s="54" t="s">
        <v>229</v>
      </c>
      <c r="E125" s="92">
        <v>0</v>
      </c>
      <c r="F125" s="65" t="s">
        <v>256</v>
      </c>
      <c r="G125" s="60" t="s">
        <v>77</v>
      </c>
      <c r="H125" s="131">
        <v>23.8</v>
      </c>
      <c r="I125" s="143">
        <v>30.8</v>
      </c>
      <c r="J125" s="78">
        <v>31.931699999999999</v>
      </c>
      <c r="K125" s="76">
        <v>33.200000000000003</v>
      </c>
      <c r="L125" s="31">
        <v>1</v>
      </c>
      <c r="M125" s="15"/>
      <c r="N125" s="34" t="s">
        <v>100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228</v>
      </c>
      <c r="D126" s="54" t="s">
        <v>229</v>
      </c>
      <c r="E126" s="14"/>
      <c r="F126" s="65" t="s">
        <v>257</v>
      </c>
      <c r="G126" s="60" t="s">
        <v>78</v>
      </c>
      <c r="H126" s="133">
        <v>25</v>
      </c>
      <c r="I126" s="149">
        <v>34.6</v>
      </c>
      <c r="J126" s="78">
        <v>30.2258</v>
      </c>
      <c r="K126" s="76">
        <v>42.1</v>
      </c>
      <c r="L126" s="31">
        <v>1</v>
      </c>
      <c r="M126" s="15"/>
      <c r="N126" s="34" t="s">
        <v>100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228</v>
      </c>
      <c r="D127" s="54" t="s">
        <v>229</v>
      </c>
      <c r="E127" s="14"/>
      <c r="F127" s="65" t="s">
        <v>258</v>
      </c>
      <c r="G127" s="60" t="s">
        <v>79</v>
      </c>
      <c r="H127" s="131">
        <v>23.6</v>
      </c>
      <c r="I127" s="147">
        <v>36.299999999999997</v>
      </c>
      <c r="J127" s="78">
        <v>28.394400000000001</v>
      </c>
      <c r="K127" s="76">
        <v>144.5</v>
      </c>
      <c r="L127" s="31">
        <v>1</v>
      </c>
      <c r="M127" s="15"/>
      <c r="N127" s="34" t="s">
        <v>100</v>
      </c>
      <c r="O127" s="18"/>
      <c r="P127" s="18"/>
      <c r="Q127" s="26"/>
      <c r="R127" s="19"/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228</v>
      </c>
      <c r="D128" s="54" t="s">
        <v>229</v>
      </c>
      <c r="E128" s="14"/>
      <c r="F128" s="65" t="s">
        <v>259</v>
      </c>
      <c r="G128" s="60" t="s">
        <v>80</v>
      </c>
      <c r="H128" s="135">
        <v>26</v>
      </c>
      <c r="I128" s="151">
        <v>37.6</v>
      </c>
      <c r="J128" s="78">
        <v>26.077500000000001</v>
      </c>
      <c r="K128" s="76">
        <v>84.1</v>
      </c>
      <c r="L128" s="31">
        <v>1</v>
      </c>
      <c r="M128" s="15"/>
      <c r="N128" s="34" t="s">
        <v>100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228</v>
      </c>
      <c r="D129" s="54" t="s">
        <v>229</v>
      </c>
      <c r="E129" s="92">
        <v>0</v>
      </c>
      <c r="F129" s="65" t="s">
        <v>260</v>
      </c>
      <c r="G129" s="60" t="s">
        <v>81</v>
      </c>
      <c r="H129" s="131">
        <v>23.6</v>
      </c>
      <c r="I129" s="149">
        <v>34.799999999999997</v>
      </c>
      <c r="J129" s="78">
        <v>23.21</v>
      </c>
      <c r="K129" s="76">
        <v>70.7</v>
      </c>
      <c r="L129" s="31">
        <v>1</v>
      </c>
      <c r="M129" s="15"/>
      <c r="N129" s="34" t="s">
        <v>100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228</v>
      </c>
      <c r="D130" s="54"/>
      <c r="E130" s="14"/>
      <c r="F130" s="65" t="s">
        <v>261</v>
      </c>
      <c r="G130" s="60" t="s">
        <v>208</v>
      </c>
      <c r="H130" s="91"/>
      <c r="I130" s="91"/>
      <c r="J130" s="78">
        <v>19.9939</v>
      </c>
      <c r="K130" s="76">
        <v>63.5</v>
      </c>
      <c r="L130" s="31">
        <v>1</v>
      </c>
      <c r="M130" s="15"/>
      <c r="N130" s="34" t="s">
        <v>100</v>
      </c>
      <c r="O130" s="18"/>
      <c r="P130" s="18"/>
      <c r="Q130" s="26"/>
      <c r="R130" s="19">
        <v>1</v>
      </c>
      <c r="S130" s="20"/>
    </row>
    <row r="131" spans="1:19" ht="34.5" customHeight="1" thickBot="1" x14ac:dyDescent="0.45">
      <c r="A131" s="53">
        <v>128</v>
      </c>
      <c r="B131" s="87"/>
      <c r="C131" s="82" t="s">
        <v>228</v>
      </c>
      <c r="D131" s="54" t="s">
        <v>229</v>
      </c>
      <c r="E131" s="14"/>
      <c r="F131" s="65" t="s">
        <v>262</v>
      </c>
      <c r="G131" s="60" t="s">
        <v>82</v>
      </c>
      <c r="H131" s="130">
        <v>22.5</v>
      </c>
      <c r="I131" s="140">
        <v>27.5</v>
      </c>
      <c r="J131" s="78">
        <v>18.216699999999999</v>
      </c>
      <c r="K131" s="76">
        <v>419.4</v>
      </c>
      <c r="L131" s="31">
        <v>1</v>
      </c>
      <c r="M131" s="15"/>
      <c r="N131" s="34" t="s">
        <v>100</v>
      </c>
      <c r="O131" s="18"/>
      <c r="P131" s="18"/>
      <c r="Q131" s="26"/>
      <c r="R131" s="19"/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228</v>
      </c>
      <c r="D132" s="54" t="s">
        <v>229</v>
      </c>
      <c r="E132" s="14"/>
      <c r="F132" s="65" t="s">
        <v>261</v>
      </c>
      <c r="G132" s="60" t="s">
        <v>83</v>
      </c>
      <c r="H132" s="133">
        <v>25.4</v>
      </c>
      <c r="I132" s="146">
        <v>31.2</v>
      </c>
      <c r="J132" s="78">
        <v>19.094200000000001</v>
      </c>
      <c r="K132" s="76">
        <v>6.1</v>
      </c>
      <c r="L132" s="31">
        <v>1</v>
      </c>
      <c r="M132" s="15"/>
      <c r="N132" s="34" t="s">
        <v>100</v>
      </c>
      <c r="O132" s="18"/>
      <c r="P132" s="18"/>
      <c r="Q132" s="26"/>
      <c r="R132" s="19"/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228</v>
      </c>
      <c r="D133" s="54" t="s">
        <v>229</v>
      </c>
      <c r="E133" s="14"/>
      <c r="F133" s="65" t="s">
        <v>263</v>
      </c>
      <c r="G133" s="60" t="s">
        <v>84</v>
      </c>
      <c r="H133" s="132">
        <v>24.6</v>
      </c>
      <c r="I133" s="145">
        <v>33.799999999999997</v>
      </c>
      <c r="J133" s="78">
        <v>22.783899999999999</v>
      </c>
      <c r="K133" s="75">
        <v>152.1</v>
      </c>
      <c r="L133" s="31">
        <v>1</v>
      </c>
      <c r="M133" s="15"/>
      <c r="N133" s="34" t="s">
        <v>100</v>
      </c>
      <c r="O133" s="18"/>
      <c r="P133" s="18"/>
      <c r="Q133" s="26"/>
      <c r="R133" s="19">
        <v>1</v>
      </c>
      <c r="S133" s="20">
        <v>1</v>
      </c>
    </row>
    <row r="134" spans="1:19" ht="34.5" customHeight="1" thickBot="1" x14ac:dyDescent="0.45">
      <c r="A134" s="53">
        <v>131</v>
      </c>
      <c r="B134" s="87"/>
      <c r="C134" s="82" t="s">
        <v>228</v>
      </c>
      <c r="D134" s="54" t="s">
        <v>229</v>
      </c>
      <c r="E134" s="14"/>
      <c r="F134" s="65" t="s">
        <v>176</v>
      </c>
      <c r="G134" s="60" t="s">
        <v>85</v>
      </c>
      <c r="H134" s="131">
        <v>23.9</v>
      </c>
      <c r="I134" s="146">
        <v>31.7</v>
      </c>
      <c r="J134" s="78">
        <v>23.632200000000001</v>
      </c>
      <c r="K134" s="76">
        <v>506.8</v>
      </c>
      <c r="L134" s="31">
        <v>1</v>
      </c>
      <c r="M134" s="15"/>
      <c r="N134" s="34" t="s">
        <v>100</v>
      </c>
      <c r="O134" s="18"/>
      <c r="P134" s="18"/>
      <c r="Q134" s="26"/>
      <c r="R134" s="19"/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228</v>
      </c>
      <c r="D135" s="54" t="s">
        <v>229</v>
      </c>
      <c r="E135" s="14"/>
      <c r="F135" s="65" t="s">
        <v>264</v>
      </c>
      <c r="G135" s="60" t="s">
        <v>86</v>
      </c>
      <c r="H135" s="125">
        <v>17</v>
      </c>
      <c r="I135" s="129">
        <v>21.2</v>
      </c>
      <c r="J135" s="78">
        <v>25.0078</v>
      </c>
      <c r="K135" s="76">
        <v>1888.1</v>
      </c>
      <c r="L135" s="31">
        <v>1</v>
      </c>
      <c r="M135" s="15"/>
      <c r="N135" s="34" t="s">
        <v>100</v>
      </c>
      <c r="O135" s="18"/>
      <c r="P135" s="18"/>
      <c r="Q135" s="26"/>
      <c r="R135" s="19">
        <v>1</v>
      </c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228</v>
      </c>
      <c r="D136" s="54" t="s">
        <v>229</v>
      </c>
      <c r="E136" s="14"/>
      <c r="F136" s="65" t="s">
        <v>265</v>
      </c>
      <c r="G136" s="60" t="s">
        <v>87</v>
      </c>
      <c r="H136" s="128">
        <v>20.2</v>
      </c>
      <c r="I136" s="131">
        <v>23.8</v>
      </c>
      <c r="J136" s="78">
        <v>26.589700000000001</v>
      </c>
      <c r="K136" s="76">
        <v>1227.3</v>
      </c>
      <c r="L136" s="31">
        <v>1</v>
      </c>
      <c r="M136" s="15"/>
      <c r="N136" s="34" t="s">
        <v>100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228</v>
      </c>
      <c r="D137" s="54" t="s">
        <v>229</v>
      </c>
      <c r="E137" s="14"/>
      <c r="F137" s="65" t="s">
        <v>266</v>
      </c>
      <c r="G137" s="60" t="s">
        <v>95</v>
      </c>
      <c r="H137" s="132">
        <v>24.4</v>
      </c>
      <c r="I137" s="149">
        <v>34.6</v>
      </c>
      <c r="J137" s="78">
        <v>29.604700000000001</v>
      </c>
      <c r="K137" s="75">
        <v>260</v>
      </c>
      <c r="L137" s="31">
        <v>1</v>
      </c>
      <c r="M137" s="15"/>
      <c r="N137" s="34" t="s">
        <v>100</v>
      </c>
      <c r="O137" s="18"/>
      <c r="P137" s="18"/>
      <c r="Q137" s="26"/>
      <c r="R137" s="19">
        <v>1</v>
      </c>
      <c r="S137" s="20">
        <v>1</v>
      </c>
    </row>
    <row r="138" spans="1:19" ht="34.5" customHeight="1" thickBot="1" x14ac:dyDescent="0.45">
      <c r="A138" s="53">
        <v>135</v>
      </c>
      <c r="B138" s="87"/>
      <c r="C138" s="82"/>
      <c r="D138" s="54" t="s">
        <v>229</v>
      </c>
      <c r="E138" s="14"/>
      <c r="F138" s="65" t="s">
        <v>177</v>
      </c>
      <c r="G138" s="60" t="s">
        <v>209</v>
      </c>
      <c r="H138" s="131">
        <v>23.2</v>
      </c>
      <c r="I138" s="148">
        <v>35</v>
      </c>
      <c r="J138" s="78">
        <v>30.856400000000001</v>
      </c>
      <c r="K138" s="76">
        <v>305.7</v>
      </c>
      <c r="L138" s="31">
        <v>1</v>
      </c>
      <c r="M138" s="15"/>
      <c r="N138" s="34" t="s">
        <v>100</v>
      </c>
      <c r="O138" s="18"/>
      <c r="P138" s="18"/>
      <c r="Q138" s="26"/>
      <c r="R138" s="19"/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228</v>
      </c>
      <c r="D139" s="54" t="s">
        <v>229</v>
      </c>
      <c r="E139" s="92">
        <v>0</v>
      </c>
      <c r="F139" s="65" t="s">
        <v>267</v>
      </c>
      <c r="G139" s="60" t="s">
        <v>96</v>
      </c>
      <c r="H139" s="130">
        <v>22.8</v>
      </c>
      <c r="I139" s="146">
        <v>31.3</v>
      </c>
      <c r="J139" s="78">
        <v>30.748899999999999</v>
      </c>
      <c r="K139" s="76">
        <v>547.70000000000005</v>
      </c>
      <c r="L139" s="31">
        <v>1</v>
      </c>
      <c r="M139" s="15"/>
      <c r="N139" s="34" t="s">
        <v>100</v>
      </c>
      <c r="O139" s="18"/>
      <c r="P139" s="18"/>
      <c r="Q139" s="26"/>
      <c r="R139" s="19">
        <v>1</v>
      </c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228</v>
      </c>
      <c r="D140" s="54" t="s">
        <v>229</v>
      </c>
      <c r="E140" s="14"/>
      <c r="F140" s="65" t="s">
        <v>268</v>
      </c>
      <c r="G140" s="60" t="s">
        <v>88</v>
      </c>
      <c r="H140" s="121">
        <v>10</v>
      </c>
      <c r="I140" s="130">
        <v>22.2</v>
      </c>
      <c r="J140" s="78">
        <v>29.6586</v>
      </c>
      <c r="K140" s="76">
        <v>3648.7</v>
      </c>
      <c r="L140" s="31">
        <v>1</v>
      </c>
      <c r="M140" s="15"/>
      <c r="N140" s="34" t="s">
        <v>100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/>
      <c r="D141" s="54" t="s">
        <v>229</v>
      </c>
      <c r="E141" s="14"/>
      <c r="F141" s="65" t="s">
        <v>178</v>
      </c>
      <c r="G141" s="60" t="s">
        <v>32</v>
      </c>
      <c r="H141" s="121">
        <v>10.9</v>
      </c>
      <c r="I141" s="141">
        <v>29.8</v>
      </c>
      <c r="J141" s="78">
        <v>41.956899999999997</v>
      </c>
      <c r="K141" s="76">
        <v>939</v>
      </c>
      <c r="L141" s="31">
        <v>1</v>
      </c>
      <c r="M141" s="15"/>
      <c r="N141" s="34" t="s">
        <v>100</v>
      </c>
      <c r="O141" s="18"/>
      <c r="P141" s="18"/>
      <c r="Q141" s="26"/>
      <c r="R141" s="19"/>
      <c r="S141" s="20">
        <v>1</v>
      </c>
    </row>
    <row r="142" spans="1:19" ht="34.5" customHeight="1" thickBot="1" x14ac:dyDescent="0.45">
      <c r="A142" s="53">
        <v>139</v>
      </c>
      <c r="B142" s="87">
        <v>0</v>
      </c>
      <c r="C142" s="82"/>
      <c r="D142" s="54" t="s">
        <v>229</v>
      </c>
      <c r="E142" s="14"/>
      <c r="F142" s="65" t="s">
        <v>179</v>
      </c>
      <c r="G142" s="60" t="s">
        <v>24</v>
      </c>
      <c r="H142" s="115">
        <v>4.5999999999999996</v>
      </c>
      <c r="I142" s="130">
        <v>22.2</v>
      </c>
      <c r="J142" s="78">
        <v>39.994199999999999</v>
      </c>
      <c r="K142" s="76">
        <v>1345.8</v>
      </c>
      <c r="L142" s="31">
        <v>1</v>
      </c>
      <c r="M142" s="15">
        <v>1</v>
      </c>
      <c r="N142" s="34" t="s">
        <v>100</v>
      </c>
      <c r="O142" s="18"/>
      <c r="P142" s="18"/>
      <c r="Q142" s="26"/>
      <c r="R142" s="19"/>
      <c r="S142" s="20"/>
    </row>
    <row r="143" spans="1:19" ht="34.5" customHeight="1" thickBot="1" x14ac:dyDescent="0.45">
      <c r="A143" s="53">
        <v>140</v>
      </c>
      <c r="B143" s="87"/>
      <c r="C143" s="82"/>
      <c r="D143" s="54" t="s">
        <v>229</v>
      </c>
      <c r="E143" s="92">
        <v>0</v>
      </c>
      <c r="F143" s="65" t="s">
        <v>269</v>
      </c>
      <c r="G143" s="60" t="s">
        <v>89</v>
      </c>
      <c r="H143" s="133">
        <v>25.9</v>
      </c>
      <c r="I143" s="145">
        <v>33.6</v>
      </c>
      <c r="J143" s="78">
        <v>31.1922</v>
      </c>
      <c r="K143" s="76">
        <v>2</v>
      </c>
      <c r="L143" s="31">
        <v>1</v>
      </c>
      <c r="M143" s="15"/>
      <c r="N143" s="34" t="s">
        <v>100</v>
      </c>
      <c r="O143" s="18"/>
      <c r="P143" s="18"/>
      <c r="Q143" s="26"/>
      <c r="R143" s="19">
        <v>1</v>
      </c>
      <c r="S143" s="20">
        <v>1</v>
      </c>
    </row>
    <row r="144" spans="1:19" ht="34.5" customHeight="1" thickBot="1" x14ac:dyDescent="0.45">
      <c r="A144" s="53">
        <v>141</v>
      </c>
      <c r="B144" s="87"/>
      <c r="C144" s="82"/>
      <c r="D144" s="54" t="s">
        <v>229</v>
      </c>
      <c r="E144" s="14"/>
      <c r="F144" s="65" t="s">
        <v>180</v>
      </c>
      <c r="G144" s="60" t="s">
        <v>33</v>
      </c>
      <c r="H144" s="130">
        <v>22.8</v>
      </c>
      <c r="I144" s="147">
        <v>36.299999999999997</v>
      </c>
      <c r="J144" s="78">
        <v>26.391100000000002</v>
      </c>
      <c r="K144" s="76">
        <v>120.7</v>
      </c>
      <c r="L144" s="31">
        <v>1</v>
      </c>
      <c r="M144" s="15"/>
      <c r="N144" s="34" t="s">
        <v>100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/>
      <c r="C145" s="82"/>
      <c r="D145" s="54" t="s">
        <v>229</v>
      </c>
      <c r="E145" s="14"/>
      <c r="F145" s="65" t="s">
        <v>307</v>
      </c>
      <c r="G145" s="60" t="s">
        <v>309</v>
      </c>
      <c r="H145" s="131">
        <v>23.7</v>
      </c>
      <c r="I145" s="150">
        <v>37.200000000000003</v>
      </c>
      <c r="J145" s="78">
        <v>28.461400000000001</v>
      </c>
      <c r="K145" s="76">
        <v>121.3</v>
      </c>
      <c r="L145" s="31">
        <v>1</v>
      </c>
      <c r="M145" s="15"/>
      <c r="N145" s="34" t="s">
        <v>100</v>
      </c>
      <c r="O145" s="18"/>
      <c r="P145" s="18"/>
      <c r="Q145" s="26"/>
      <c r="R145" s="19"/>
      <c r="S145" s="20">
        <v>1</v>
      </c>
    </row>
    <row r="146" spans="1:19" ht="34.5" customHeight="1" thickBot="1" x14ac:dyDescent="0.45">
      <c r="A146" s="53">
        <v>143</v>
      </c>
      <c r="B146" s="87"/>
      <c r="C146" s="82"/>
      <c r="D146" s="54" t="s">
        <v>229</v>
      </c>
      <c r="E146" s="14"/>
      <c r="F146" s="65" t="s">
        <v>181</v>
      </c>
      <c r="G146" s="60" t="s">
        <v>90</v>
      </c>
      <c r="H146" s="132">
        <v>24.6</v>
      </c>
      <c r="I146" s="147">
        <v>36.4</v>
      </c>
      <c r="J146" s="78">
        <v>27.052499999999998</v>
      </c>
      <c r="K146" s="76">
        <v>109.4</v>
      </c>
      <c r="L146" s="31">
        <v>1</v>
      </c>
      <c r="M146" s="15"/>
      <c r="N146" s="34" t="s">
        <v>100</v>
      </c>
      <c r="O146" s="18"/>
      <c r="P146" s="18"/>
      <c r="Q146" s="26"/>
      <c r="R146" s="19"/>
      <c r="S146" s="20">
        <v>1</v>
      </c>
    </row>
    <row r="147" spans="1:19" ht="34.5" customHeight="1" thickBot="1" x14ac:dyDescent="0.45">
      <c r="A147" s="53">
        <v>144</v>
      </c>
      <c r="B147" s="87"/>
      <c r="C147" s="82"/>
      <c r="D147" s="54" t="s">
        <v>229</v>
      </c>
      <c r="E147" s="14"/>
      <c r="F147" s="65" t="s">
        <v>270</v>
      </c>
      <c r="G147" s="60" t="s">
        <v>91</v>
      </c>
      <c r="H147" s="124">
        <v>16.8</v>
      </c>
      <c r="I147" s="143">
        <v>30.2</v>
      </c>
      <c r="J147" s="78">
        <v>36.043900000000001</v>
      </c>
      <c r="K147" s="76">
        <v>1517.2</v>
      </c>
      <c r="L147" s="31">
        <v>1</v>
      </c>
      <c r="M147" s="15"/>
      <c r="N147" s="34" t="s">
        <v>100</v>
      </c>
      <c r="O147" s="18"/>
      <c r="P147" s="18"/>
      <c r="Q147" s="26"/>
      <c r="R147" s="19">
        <v>1</v>
      </c>
      <c r="S147" s="20">
        <v>1</v>
      </c>
    </row>
    <row r="148" spans="1:19" ht="34.5" customHeight="1" thickBot="1" x14ac:dyDescent="0.45">
      <c r="A148" s="53">
        <v>145</v>
      </c>
      <c r="B148" s="87"/>
      <c r="C148" s="82"/>
      <c r="D148" s="54"/>
      <c r="E148" s="14"/>
      <c r="F148" s="65" t="s">
        <v>271</v>
      </c>
      <c r="G148" s="60" t="s">
        <v>210</v>
      </c>
      <c r="H148" s="91"/>
      <c r="I148" s="91"/>
      <c r="J148" s="78">
        <v>51.683300000000003</v>
      </c>
      <c r="K148" s="75">
        <v>654</v>
      </c>
      <c r="L148" s="31">
        <v>1</v>
      </c>
      <c r="M148" s="15">
        <v>1</v>
      </c>
      <c r="N148" s="34" t="s">
        <v>100</v>
      </c>
      <c r="O148" s="18">
        <v>1</v>
      </c>
      <c r="P148" s="18"/>
      <c r="Q148" s="26"/>
      <c r="R148" s="19"/>
      <c r="S148" s="20"/>
    </row>
    <row r="149" spans="1:19" ht="34.5" customHeight="1" thickBot="1" x14ac:dyDescent="0.45">
      <c r="A149" s="53">
        <v>146</v>
      </c>
      <c r="B149" s="87"/>
      <c r="C149" s="82"/>
      <c r="D149" s="54"/>
      <c r="E149" s="14"/>
      <c r="F149" s="65" t="s">
        <v>237</v>
      </c>
      <c r="G149" s="60" t="s">
        <v>211</v>
      </c>
      <c r="H149" s="91"/>
      <c r="I149" s="91"/>
      <c r="J149" s="78">
        <v>52.839700000000001</v>
      </c>
      <c r="K149" s="75">
        <v>507.5</v>
      </c>
      <c r="L149" s="31">
        <v>1</v>
      </c>
      <c r="M149" s="15">
        <v>1</v>
      </c>
      <c r="N149" s="34" t="s">
        <v>100</v>
      </c>
      <c r="O149" s="18">
        <v>1</v>
      </c>
      <c r="P149" s="18"/>
      <c r="Q149" s="26"/>
      <c r="R149" s="19"/>
      <c r="S149" s="20"/>
    </row>
    <row r="150" spans="1:19" ht="34.5" customHeight="1" thickBot="1" x14ac:dyDescent="0.45">
      <c r="A150" s="53">
        <v>147</v>
      </c>
      <c r="B150" s="87"/>
      <c r="C150" s="82"/>
      <c r="D150" s="54"/>
      <c r="E150" s="14"/>
      <c r="F150" s="88" t="s">
        <v>272</v>
      </c>
      <c r="G150" s="60" t="s">
        <v>212</v>
      </c>
      <c r="H150" s="91"/>
      <c r="I150" s="91"/>
      <c r="J150" s="78">
        <v>51.3264</v>
      </c>
      <c r="K150" s="75">
        <v>496.2</v>
      </c>
      <c r="L150" s="31">
        <v>1</v>
      </c>
      <c r="M150" s="15">
        <v>1</v>
      </c>
      <c r="N150" s="34" t="s">
        <v>100</v>
      </c>
      <c r="O150" s="18">
        <v>1</v>
      </c>
      <c r="P150" s="18"/>
      <c r="Q150" s="26"/>
      <c r="R150" s="19"/>
      <c r="S150" s="20"/>
    </row>
    <row r="151" spans="1:19" ht="34.5" customHeight="1" thickBot="1" x14ac:dyDescent="0.45">
      <c r="A151" s="53">
        <v>148</v>
      </c>
      <c r="B151" s="87"/>
      <c r="C151" s="82"/>
      <c r="D151" s="54"/>
      <c r="E151" s="14"/>
      <c r="F151" s="88" t="s">
        <v>273</v>
      </c>
      <c r="G151" s="60" t="s">
        <v>213</v>
      </c>
      <c r="H151" s="91"/>
      <c r="I151" s="91"/>
      <c r="J151" s="78"/>
      <c r="K151" s="76"/>
      <c r="L151" s="31">
        <v>1</v>
      </c>
      <c r="M151" s="15">
        <v>1</v>
      </c>
      <c r="N151" s="34" t="s">
        <v>100</v>
      </c>
      <c r="O151" s="18">
        <v>1</v>
      </c>
      <c r="P151" s="18"/>
      <c r="Q151" s="26"/>
      <c r="R151" s="19"/>
      <c r="S151" s="20"/>
    </row>
    <row r="152" spans="1:19" ht="34.5" customHeight="1" thickBot="1" x14ac:dyDescent="0.45">
      <c r="A152" s="53">
        <v>149</v>
      </c>
      <c r="B152" s="87"/>
      <c r="C152" s="82"/>
      <c r="D152" s="54"/>
      <c r="E152" s="14"/>
      <c r="F152" s="88" t="s">
        <v>272</v>
      </c>
      <c r="G152" s="60" t="s">
        <v>214</v>
      </c>
      <c r="H152" s="91"/>
      <c r="I152" s="91"/>
      <c r="J152" s="78">
        <v>52.6633</v>
      </c>
      <c r="K152" s="77">
        <v>430</v>
      </c>
      <c r="L152" s="32">
        <v>2</v>
      </c>
      <c r="M152" s="16">
        <v>2</v>
      </c>
      <c r="N152" s="34" t="s">
        <v>100</v>
      </c>
      <c r="O152" s="105">
        <v>2</v>
      </c>
      <c r="P152" s="18"/>
      <c r="Q152" s="26"/>
      <c r="R152" s="19"/>
      <c r="S152" s="20"/>
    </row>
    <row r="153" spans="1:19" ht="34.5" customHeight="1" thickBot="1" x14ac:dyDescent="0.45">
      <c r="A153" s="53">
        <v>150</v>
      </c>
      <c r="B153" s="87"/>
      <c r="C153" s="82"/>
      <c r="D153" s="54" t="s">
        <v>395</v>
      </c>
      <c r="E153" s="14"/>
      <c r="F153" s="65" t="s">
        <v>274</v>
      </c>
      <c r="G153" s="60" t="s">
        <v>92</v>
      </c>
      <c r="H153" s="113">
        <v>2.2999999999999998</v>
      </c>
      <c r="I153" s="125">
        <v>17.100000000000001</v>
      </c>
      <c r="J153" s="78">
        <v>48.584200000000003</v>
      </c>
      <c r="K153" s="76">
        <v>1223</v>
      </c>
      <c r="L153" s="31">
        <v>1</v>
      </c>
      <c r="M153" s="15">
        <v>1</v>
      </c>
      <c r="N153" s="34" t="s">
        <v>100</v>
      </c>
      <c r="O153" s="18">
        <v>1</v>
      </c>
      <c r="P153" s="18"/>
      <c r="Q153" s="26"/>
      <c r="R153" s="19"/>
      <c r="S153" s="20"/>
    </row>
    <row r="154" spans="1:19" ht="34.5" customHeight="1" thickBot="1" x14ac:dyDescent="0.45">
      <c r="A154" s="53">
        <v>151</v>
      </c>
      <c r="B154" s="87"/>
      <c r="C154" s="82"/>
      <c r="D154" s="54"/>
      <c r="E154" s="14"/>
      <c r="F154" s="65" t="s">
        <v>275</v>
      </c>
      <c r="G154" s="60" t="s">
        <v>215</v>
      </c>
      <c r="H154" s="91"/>
      <c r="I154" s="91"/>
      <c r="J154" s="78">
        <v>47.027200000000001</v>
      </c>
      <c r="K154" s="76">
        <v>1333</v>
      </c>
      <c r="L154" s="31">
        <v>1</v>
      </c>
      <c r="M154" s="15">
        <v>1</v>
      </c>
      <c r="N154" s="34" t="s">
        <v>100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/>
      <c r="E155" s="14"/>
      <c r="F155" s="65" t="s">
        <v>276</v>
      </c>
      <c r="G155" s="60" t="s">
        <v>216</v>
      </c>
      <c r="H155" s="91"/>
      <c r="I155" s="91"/>
      <c r="J155" s="78">
        <v>46.801099999999998</v>
      </c>
      <c r="K155" s="77">
        <v>2640</v>
      </c>
      <c r="L155" s="32">
        <v>2</v>
      </c>
      <c r="M155" s="16">
        <v>2</v>
      </c>
      <c r="N155" s="34" t="s">
        <v>100</v>
      </c>
      <c r="O155" s="105">
        <v>2</v>
      </c>
      <c r="P155" s="18"/>
      <c r="Q155" s="26"/>
      <c r="R155" s="19"/>
      <c r="S155" s="20"/>
    </row>
    <row r="156" spans="1:19" ht="34.5" customHeight="1" thickBot="1" x14ac:dyDescent="0.45">
      <c r="A156" s="53">
        <v>153</v>
      </c>
      <c r="B156" s="87"/>
      <c r="C156" s="82"/>
      <c r="D156" s="54" t="s">
        <v>385</v>
      </c>
      <c r="E156" s="14"/>
      <c r="F156" s="65" t="s">
        <v>386</v>
      </c>
      <c r="G156" s="104" t="s">
        <v>389</v>
      </c>
      <c r="H156" s="107">
        <v>-4.2</v>
      </c>
      <c r="I156" s="137">
        <v>-0.9</v>
      </c>
      <c r="J156" s="78" t="s">
        <v>387</v>
      </c>
      <c r="K156" s="77" t="s">
        <v>388</v>
      </c>
      <c r="L156" s="32">
        <v>2</v>
      </c>
      <c r="M156" s="16">
        <v>2</v>
      </c>
      <c r="N156" s="34" t="s">
        <v>384</v>
      </c>
      <c r="O156" s="105">
        <v>2</v>
      </c>
      <c r="P156" s="18"/>
      <c r="Q156" s="26"/>
      <c r="R156" s="19"/>
      <c r="S156" s="20"/>
    </row>
    <row r="157" spans="1:19" ht="34.5" customHeight="1" thickBot="1" x14ac:dyDescent="0.45">
      <c r="A157" s="53">
        <v>154</v>
      </c>
      <c r="B157" s="87"/>
      <c r="C157" s="82"/>
      <c r="D157" s="54"/>
      <c r="E157" s="14"/>
      <c r="F157" s="65" t="s">
        <v>243</v>
      </c>
      <c r="G157" s="60" t="s">
        <v>217</v>
      </c>
      <c r="H157" s="91"/>
      <c r="I157" s="91"/>
      <c r="J157" s="78">
        <v>42.828800000000001</v>
      </c>
      <c r="K157" s="75">
        <v>2465</v>
      </c>
      <c r="L157" s="31">
        <v>1</v>
      </c>
      <c r="M157" s="15">
        <v>1</v>
      </c>
      <c r="N157" s="34" t="s">
        <v>100</v>
      </c>
      <c r="O157" s="18">
        <v>1</v>
      </c>
      <c r="P157" s="18"/>
      <c r="Q157" s="26"/>
      <c r="R157" s="19"/>
      <c r="S157" s="20"/>
    </row>
    <row r="158" spans="1:19" ht="34.5" customHeight="1" thickBot="1" x14ac:dyDescent="0.45">
      <c r="A158" s="53">
        <v>155</v>
      </c>
      <c r="B158" s="87"/>
      <c r="C158" s="82"/>
      <c r="D158" s="54"/>
      <c r="E158" s="14"/>
      <c r="F158" s="65" t="s">
        <v>378</v>
      </c>
      <c r="G158" s="60" t="s">
        <v>381</v>
      </c>
      <c r="H158" s="91"/>
      <c r="I158" s="91"/>
      <c r="J158" s="78">
        <v>42.410299999999999</v>
      </c>
      <c r="K158" s="75">
        <v>1506.5</v>
      </c>
      <c r="L158" s="31">
        <v>1</v>
      </c>
      <c r="M158" s="15">
        <v>1</v>
      </c>
      <c r="N158" s="34" t="s">
        <v>384</v>
      </c>
      <c r="O158" s="18">
        <v>1</v>
      </c>
      <c r="P158" s="18"/>
      <c r="Q158" s="26"/>
      <c r="R158" s="19"/>
      <c r="S158" s="20"/>
    </row>
    <row r="159" spans="1:19" ht="34.5" customHeight="1" thickBot="1" x14ac:dyDescent="0.45">
      <c r="A159" s="53">
        <v>156</v>
      </c>
      <c r="B159" s="87"/>
      <c r="C159" s="82"/>
      <c r="D159" s="54"/>
      <c r="E159" s="14"/>
      <c r="F159" s="65" t="s">
        <v>379</v>
      </c>
      <c r="G159" s="60" t="s">
        <v>382</v>
      </c>
      <c r="H159" s="91"/>
      <c r="I159" s="91"/>
      <c r="J159" s="78">
        <v>39.049199999999999</v>
      </c>
      <c r="K159" s="75">
        <v>2889</v>
      </c>
      <c r="L159" s="32">
        <v>2</v>
      </c>
      <c r="M159" s="16">
        <v>2</v>
      </c>
      <c r="N159" s="34" t="s">
        <v>100</v>
      </c>
      <c r="O159" s="105">
        <v>2</v>
      </c>
      <c r="P159" s="18"/>
      <c r="Q159" s="26"/>
      <c r="R159" s="19"/>
      <c r="S159" s="20"/>
    </row>
    <row r="160" spans="1:19" ht="34.5" customHeight="1" thickBot="1" x14ac:dyDescent="0.45">
      <c r="A160" s="53">
        <v>157</v>
      </c>
      <c r="B160" s="87"/>
      <c r="C160" s="82"/>
      <c r="D160" s="54"/>
      <c r="E160" s="14"/>
      <c r="F160" s="65" t="s">
        <v>380</v>
      </c>
      <c r="G160" s="60" t="s">
        <v>383</v>
      </c>
      <c r="H160" s="91"/>
      <c r="I160" s="91"/>
      <c r="J160" s="78">
        <v>33.0672</v>
      </c>
      <c r="K160" s="75">
        <v>4186</v>
      </c>
      <c r="L160" s="31">
        <v>1</v>
      </c>
      <c r="M160" s="15">
        <v>1</v>
      </c>
      <c r="N160" s="34" t="s">
        <v>384</v>
      </c>
      <c r="O160" s="18">
        <v>1</v>
      </c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 t="s">
        <v>394</v>
      </c>
      <c r="D161" s="54" t="s">
        <v>229</v>
      </c>
      <c r="E161" s="92">
        <v>0</v>
      </c>
      <c r="F161" s="65" t="s">
        <v>328</v>
      </c>
      <c r="G161" s="60" t="s">
        <v>329</v>
      </c>
      <c r="H161" s="123">
        <v>15.4</v>
      </c>
      <c r="I161" s="130">
        <v>22.5</v>
      </c>
      <c r="J161" s="78">
        <v>30.134699999999999</v>
      </c>
      <c r="K161" s="75">
        <v>1839.7</v>
      </c>
      <c r="L161" s="31"/>
      <c r="M161" s="15"/>
      <c r="N161" s="34" t="s">
        <v>100</v>
      </c>
      <c r="O161" s="18"/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 t="s">
        <v>229</v>
      </c>
      <c r="E162" s="92">
        <v>0</v>
      </c>
      <c r="F162" s="65" t="s">
        <v>324</v>
      </c>
      <c r="G162" s="60" t="s">
        <v>325</v>
      </c>
      <c r="H162" s="116">
        <v>5</v>
      </c>
      <c r="I162" s="119">
        <v>8.9</v>
      </c>
      <c r="J162" s="78">
        <v>42.028300000000002</v>
      </c>
      <c r="K162" s="75">
        <v>2620</v>
      </c>
      <c r="L162" s="32"/>
      <c r="M162" s="16"/>
      <c r="N162" s="34" t="s">
        <v>384</v>
      </c>
      <c r="O162" s="105"/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/>
      <c r="D163" s="54" t="s">
        <v>229</v>
      </c>
      <c r="E163" s="92">
        <v>0</v>
      </c>
      <c r="F163" s="65" t="s">
        <v>320</v>
      </c>
      <c r="G163" s="60" t="s">
        <v>321</v>
      </c>
      <c r="H163" s="114">
        <v>3.7</v>
      </c>
      <c r="I163" s="123">
        <v>15.4</v>
      </c>
      <c r="J163" s="78">
        <v>48.721699999999998</v>
      </c>
      <c r="K163" s="75">
        <v>1367</v>
      </c>
      <c r="L163" s="32"/>
      <c r="M163" s="16"/>
      <c r="N163" s="34" t="s">
        <v>100</v>
      </c>
      <c r="O163" s="105"/>
      <c r="P163" s="18"/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/>
      <c r="D164" s="54" t="s">
        <v>229</v>
      </c>
      <c r="E164" s="92">
        <v>0</v>
      </c>
      <c r="F164" s="65" t="s">
        <v>322</v>
      </c>
      <c r="G164" s="60" t="s">
        <v>323</v>
      </c>
      <c r="H164" s="117">
        <v>6.4</v>
      </c>
      <c r="I164" s="139">
        <v>13.4</v>
      </c>
      <c r="J164" s="78">
        <v>44.602800000000002</v>
      </c>
      <c r="K164" s="75">
        <v>2100</v>
      </c>
      <c r="L164" s="32"/>
      <c r="M164" s="16"/>
      <c r="N164" s="34" t="s">
        <v>384</v>
      </c>
      <c r="O164" s="105"/>
      <c r="P164" s="18"/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/>
      <c r="D165" s="54" t="s">
        <v>229</v>
      </c>
      <c r="E165" s="92">
        <v>0</v>
      </c>
      <c r="F165" s="65" t="s">
        <v>326</v>
      </c>
      <c r="G165" s="60" t="s">
        <v>374</v>
      </c>
      <c r="H165" s="115">
        <v>4.8</v>
      </c>
      <c r="I165" s="140">
        <v>27.5</v>
      </c>
      <c r="J165" s="78">
        <v>33.043300000000002</v>
      </c>
      <c r="K165" s="75">
        <v>3099</v>
      </c>
      <c r="L165" s="32"/>
      <c r="M165" s="16"/>
      <c r="N165" s="34" t="s">
        <v>100</v>
      </c>
      <c r="O165" s="105"/>
      <c r="P165" s="18"/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/>
      <c r="D166" s="54" t="s">
        <v>229</v>
      </c>
      <c r="E166" s="92">
        <v>0</v>
      </c>
      <c r="F166" s="65" t="s">
        <v>327</v>
      </c>
      <c r="G166" s="60" t="s">
        <v>373</v>
      </c>
      <c r="H166" s="125">
        <v>17.399999999999999</v>
      </c>
      <c r="I166" s="127">
        <v>19.3</v>
      </c>
      <c r="J166" s="78">
        <v>29.041899999999998</v>
      </c>
      <c r="K166" s="75">
        <v>1443.4</v>
      </c>
      <c r="L166" s="31"/>
      <c r="M166" s="15"/>
      <c r="N166" s="34" t="s">
        <v>384</v>
      </c>
      <c r="O166" s="18"/>
      <c r="P166" s="18"/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 t="s">
        <v>228</v>
      </c>
      <c r="D167" s="54" t="s">
        <v>229</v>
      </c>
      <c r="E167" s="14"/>
      <c r="F167" s="63" t="s">
        <v>182</v>
      </c>
      <c r="G167" s="58" t="s">
        <v>218</v>
      </c>
      <c r="H167" s="116">
        <v>5</v>
      </c>
      <c r="I167" s="121">
        <v>10.9</v>
      </c>
      <c r="J167" s="78">
        <v>56.283333300000002</v>
      </c>
      <c r="K167" s="75">
        <v>850</v>
      </c>
      <c r="L167" s="33">
        <v>3</v>
      </c>
      <c r="M167" s="17">
        <v>3</v>
      </c>
      <c r="N167" s="34" t="s">
        <v>111</v>
      </c>
      <c r="O167" s="18"/>
      <c r="P167" s="18">
        <v>1</v>
      </c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 t="s">
        <v>228</v>
      </c>
      <c r="D168" s="54" t="s">
        <v>229</v>
      </c>
      <c r="E168" s="14"/>
      <c r="F168" s="63" t="s">
        <v>182</v>
      </c>
      <c r="G168" s="58" t="s">
        <v>57</v>
      </c>
      <c r="H168" s="111">
        <v>0.9</v>
      </c>
      <c r="I168" s="121">
        <v>10.6</v>
      </c>
      <c r="J168" s="78">
        <v>63.25</v>
      </c>
      <c r="K168" s="75">
        <v>741</v>
      </c>
      <c r="L168" s="33">
        <v>3</v>
      </c>
      <c r="M168" s="17">
        <v>3</v>
      </c>
      <c r="N168" s="34" t="s">
        <v>111</v>
      </c>
      <c r="O168" s="18"/>
      <c r="P168" s="18">
        <v>1</v>
      </c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 t="s">
        <v>228</v>
      </c>
      <c r="D169" s="54" t="s">
        <v>229</v>
      </c>
      <c r="E169" s="14"/>
      <c r="F169" s="63" t="s">
        <v>182</v>
      </c>
      <c r="G169" s="58" t="s">
        <v>119</v>
      </c>
      <c r="H169" s="112">
        <v>1.3</v>
      </c>
      <c r="I169" s="139">
        <v>13.2</v>
      </c>
      <c r="J169" s="78">
        <v>64.55</v>
      </c>
      <c r="K169" s="75">
        <v>518.52</v>
      </c>
      <c r="L169" s="33">
        <v>3</v>
      </c>
      <c r="M169" s="17">
        <v>3</v>
      </c>
      <c r="N169" s="34" t="s">
        <v>111</v>
      </c>
      <c r="O169" s="18"/>
      <c r="P169" s="18">
        <v>1</v>
      </c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 t="s">
        <v>228</v>
      </c>
      <c r="D170" s="54" t="s">
        <v>229</v>
      </c>
      <c r="E170" s="14"/>
      <c r="F170" s="63" t="s">
        <v>182</v>
      </c>
      <c r="G170" s="58" t="s">
        <v>120</v>
      </c>
      <c r="H170" s="113">
        <v>2</v>
      </c>
      <c r="I170" s="136">
        <v>11</v>
      </c>
      <c r="J170" s="78">
        <v>64.05</v>
      </c>
      <c r="K170" s="75">
        <v>589.71</v>
      </c>
      <c r="L170" s="33">
        <v>3</v>
      </c>
      <c r="M170" s="17">
        <v>3</v>
      </c>
      <c r="N170" s="34" t="s">
        <v>111</v>
      </c>
      <c r="O170" s="18"/>
      <c r="P170" s="18">
        <v>1</v>
      </c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 t="s">
        <v>228</v>
      </c>
      <c r="D171" s="54" t="s">
        <v>229</v>
      </c>
      <c r="E171" s="14"/>
      <c r="F171" s="63" t="s">
        <v>182</v>
      </c>
      <c r="G171" s="58" t="s">
        <v>121</v>
      </c>
      <c r="H171" s="111">
        <v>0.2</v>
      </c>
      <c r="I171" s="122">
        <v>12.8</v>
      </c>
      <c r="J171" s="78">
        <v>63.8333333</v>
      </c>
      <c r="K171" s="75">
        <v>800.92</v>
      </c>
      <c r="L171" s="33">
        <v>3</v>
      </c>
      <c r="M171" s="17">
        <v>3</v>
      </c>
      <c r="N171" s="34" t="s">
        <v>111</v>
      </c>
      <c r="O171" s="18"/>
      <c r="P171" s="18">
        <v>1</v>
      </c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 t="s">
        <v>228</v>
      </c>
      <c r="D172" s="54" t="s">
        <v>229</v>
      </c>
      <c r="E172" s="14"/>
      <c r="F172" s="63" t="s">
        <v>182</v>
      </c>
      <c r="G172" s="58" t="s">
        <v>122</v>
      </c>
      <c r="H172" s="115">
        <v>4.3</v>
      </c>
      <c r="I172" s="136">
        <v>11.4</v>
      </c>
      <c r="J172" s="78">
        <v>67.566666600000005</v>
      </c>
      <c r="K172" s="75">
        <v>138</v>
      </c>
      <c r="L172" s="33">
        <v>3</v>
      </c>
      <c r="M172" s="17">
        <v>3</v>
      </c>
      <c r="N172" s="34" t="s">
        <v>111</v>
      </c>
      <c r="O172" s="18"/>
      <c r="P172" s="18">
        <v>1</v>
      </c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 t="s">
        <v>228</v>
      </c>
      <c r="D173" s="54" t="s">
        <v>229</v>
      </c>
      <c r="E173" s="14"/>
      <c r="F173" s="63" t="s">
        <v>182</v>
      </c>
      <c r="G173" s="58" t="s">
        <v>123</v>
      </c>
      <c r="H173" s="115">
        <v>4</v>
      </c>
      <c r="I173" s="136">
        <v>11.6</v>
      </c>
      <c r="J173" s="78">
        <v>63.3333333</v>
      </c>
      <c r="K173" s="75">
        <v>776.93</v>
      </c>
      <c r="L173" s="33">
        <v>3</v>
      </c>
      <c r="M173" s="17">
        <v>3</v>
      </c>
      <c r="N173" s="34" t="s">
        <v>111</v>
      </c>
      <c r="O173" s="18"/>
      <c r="P173" s="18">
        <v>1</v>
      </c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228</v>
      </c>
      <c r="D174" s="54" t="s">
        <v>229</v>
      </c>
      <c r="E174" s="14"/>
      <c r="F174" s="63" t="s">
        <v>182</v>
      </c>
      <c r="G174" s="58" t="s">
        <v>226</v>
      </c>
      <c r="H174" s="115">
        <v>4.0999999999999996</v>
      </c>
      <c r="I174" s="123">
        <v>15.4</v>
      </c>
      <c r="J174" s="78">
        <v>66.45</v>
      </c>
      <c r="K174" s="75">
        <v>196</v>
      </c>
      <c r="L174" s="33">
        <v>3</v>
      </c>
      <c r="M174" s="17">
        <v>3</v>
      </c>
      <c r="N174" s="34" t="s">
        <v>111</v>
      </c>
      <c r="O174" s="18"/>
      <c r="P174" s="18">
        <v>1</v>
      </c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 t="s">
        <v>228</v>
      </c>
      <c r="D175" s="54" t="s">
        <v>229</v>
      </c>
      <c r="E175" s="14"/>
      <c r="F175" s="63" t="s">
        <v>182</v>
      </c>
      <c r="G175" s="58" t="s">
        <v>124</v>
      </c>
      <c r="H175" s="108">
        <v>-3.8</v>
      </c>
      <c r="I175" s="138">
        <v>14.2</v>
      </c>
      <c r="J175" s="78">
        <v>62.016666600000001</v>
      </c>
      <c r="K175" s="75">
        <v>101</v>
      </c>
      <c r="L175" s="33">
        <v>3</v>
      </c>
      <c r="M175" s="17">
        <v>3</v>
      </c>
      <c r="N175" s="34" t="s">
        <v>111</v>
      </c>
      <c r="O175" s="18"/>
      <c r="P175" s="18">
        <v>1</v>
      </c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 t="s">
        <v>228</v>
      </c>
      <c r="D176" s="54" t="s">
        <v>229</v>
      </c>
      <c r="E176" s="14"/>
      <c r="F176" s="63" t="s">
        <v>182</v>
      </c>
      <c r="G176" s="58" t="s">
        <v>125</v>
      </c>
      <c r="H176" s="106">
        <v>-5.4</v>
      </c>
      <c r="I176" s="121">
        <v>10</v>
      </c>
      <c r="J176" s="78">
        <v>65.3</v>
      </c>
      <c r="K176" s="75">
        <v>674.86</v>
      </c>
      <c r="L176" s="33">
        <v>3</v>
      </c>
      <c r="M176" s="17">
        <v>3</v>
      </c>
      <c r="N176" s="34" t="s">
        <v>111</v>
      </c>
      <c r="O176" s="18"/>
      <c r="P176" s="18">
        <v>1</v>
      </c>
      <c r="Q176" s="26"/>
      <c r="R176" s="19"/>
      <c r="S176" s="20"/>
    </row>
    <row r="177" spans="1:20" ht="34.5" customHeight="1" thickBot="1" x14ac:dyDescent="0.45">
      <c r="A177" s="53">
        <v>174</v>
      </c>
      <c r="B177" s="87"/>
      <c r="C177" s="82" t="s">
        <v>228</v>
      </c>
      <c r="D177" s="54" t="s">
        <v>229</v>
      </c>
      <c r="E177" s="14"/>
      <c r="F177" s="63" t="s">
        <v>183</v>
      </c>
      <c r="G177" s="58" t="s">
        <v>150</v>
      </c>
      <c r="H177" s="111">
        <v>0.2</v>
      </c>
      <c r="I177" s="125">
        <v>17.399999999999999</v>
      </c>
      <c r="J177" s="78">
        <v>65.233333299999998</v>
      </c>
      <c r="K177" s="75">
        <v>264</v>
      </c>
      <c r="L177" s="33">
        <v>3</v>
      </c>
      <c r="M177" s="17">
        <v>3</v>
      </c>
      <c r="N177" s="34" t="s">
        <v>111</v>
      </c>
      <c r="O177" s="18"/>
      <c r="P177" s="18">
        <v>1</v>
      </c>
      <c r="Q177" s="26"/>
      <c r="R177" s="19"/>
      <c r="S177" s="20"/>
    </row>
    <row r="178" spans="1:20" ht="34.5" customHeight="1" thickBot="1" x14ac:dyDescent="0.45">
      <c r="A178" s="53">
        <v>175</v>
      </c>
      <c r="B178" s="87"/>
      <c r="C178" s="82" t="s">
        <v>228</v>
      </c>
      <c r="D178" s="54" t="s">
        <v>229</v>
      </c>
      <c r="E178" s="14"/>
      <c r="F178" s="63" t="s">
        <v>184</v>
      </c>
      <c r="G178" s="58" t="s">
        <v>151</v>
      </c>
      <c r="H178" s="108">
        <v>-3.1</v>
      </c>
      <c r="I178" s="127" t="s">
        <v>402</v>
      </c>
      <c r="J178" s="78">
        <v>62.8</v>
      </c>
      <c r="K178" s="75">
        <v>312.39999999999998</v>
      </c>
      <c r="L178" s="33">
        <v>3</v>
      </c>
      <c r="M178" s="17">
        <v>3</v>
      </c>
      <c r="N178" s="34" t="s">
        <v>111</v>
      </c>
      <c r="O178" s="18"/>
      <c r="P178" s="18">
        <v>1</v>
      </c>
      <c r="Q178" s="26"/>
      <c r="R178" s="19"/>
      <c r="S178" s="20"/>
    </row>
    <row r="179" spans="1:20" ht="34.5" customHeight="1" thickBot="1" x14ac:dyDescent="0.45">
      <c r="A179" s="53">
        <v>176</v>
      </c>
      <c r="B179" s="87"/>
      <c r="C179" s="82" t="s">
        <v>228</v>
      </c>
      <c r="D179" s="54" t="s">
        <v>229</v>
      </c>
      <c r="E179" s="14"/>
      <c r="F179" s="63" t="s">
        <v>223</v>
      </c>
      <c r="G179" s="58" t="s">
        <v>152</v>
      </c>
      <c r="H179" s="114">
        <v>3.1</v>
      </c>
      <c r="I179" s="120">
        <v>9.1</v>
      </c>
      <c r="J179" s="78">
        <v>64.266666599999994</v>
      </c>
      <c r="K179" s="75">
        <v>168</v>
      </c>
      <c r="L179" s="33">
        <v>3</v>
      </c>
      <c r="M179" s="17">
        <v>3</v>
      </c>
      <c r="N179" s="34" t="s">
        <v>111</v>
      </c>
      <c r="O179" s="18"/>
      <c r="P179" s="18">
        <v>1</v>
      </c>
      <c r="Q179" s="26"/>
      <c r="R179" s="19"/>
      <c r="S179" s="20"/>
    </row>
    <row r="180" spans="1:20" ht="34.5" customHeight="1" thickBot="1" x14ac:dyDescent="0.45">
      <c r="A180" s="53">
        <v>177</v>
      </c>
      <c r="B180" s="87"/>
      <c r="C180" s="82"/>
      <c r="D180" s="54"/>
      <c r="E180" s="14"/>
      <c r="F180" s="65" t="s">
        <v>238</v>
      </c>
      <c r="G180" s="89" t="s">
        <v>392</v>
      </c>
      <c r="H180" s="91"/>
      <c r="I180" s="91"/>
      <c r="J180" s="78">
        <v>50.004399999999997</v>
      </c>
      <c r="K180" s="75">
        <v>817.4</v>
      </c>
      <c r="L180" s="31">
        <v>1</v>
      </c>
      <c r="M180" s="15">
        <v>1</v>
      </c>
      <c r="N180" s="34" t="s">
        <v>139</v>
      </c>
      <c r="O180" s="18">
        <v>1</v>
      </c>
      <c r="P180" s="18"/>
      <c r="Q180" s="26"/>
      <c r="R180" s="19"/>
      <c r="S180" s="20"/>
    </row>
    <row r="181" spans="1:20" ht="34.5" customHeight="1" thickBot="1" x14ac:dyDescent="0.45">
      <c r="A181" s="53">
        <v>178</v>
      </c>
      <c r="B181" s="87"/>
      <c r="C181" s="82"/>
      <c r="D181" s="54"/>
      <c r="E181" s="14"/>
      <c r="F181" s="65" t="s">
        <v>318</v>
      </c>
      <c r="G181" s="89" t="s">
        <v>319</v>
      </c>
      <c r="H181" s="91"/>
      <c r="I181" s="91"/>
      <c r="J181" s="78">
        <v>52.875599999999999</v>
      </c>
      <c r="K181" s="75">
        <v>358.8</v>
      </c>
      <c r="L181" s="31">
        <v>1</v>
      </c>
      <c r="M181" s="15">
        <v>1</v>
      </c>
      <c r="N181" s="34" t="s">
        <v>139</v>
      </c>
      <c r="O181" s="18">
        <v>1</v>
      </c>
      <c r="P181" s="18"/>
      <c r="Q181" s="26"/>
      <c r="R181" s="19"/>
      <c r="S181" s="20"/>
    </row>
    <row r="182" spans="1:20" ht="34.5" customHeight="1" thickBot="1" x14ac:dyDescent="0.45">
      <c r="A182" s="53">
        <v>179</v>
      </c>
      <c r="B182" s="87"/>
      <c r="C182" s="82"/>
      <c r="D182" s="54"/>
      <c r="E182" s="14"/>
      <c r="F182" s="65" t="s">
        <v>390</v>
      </c>
      <c r="G182" s="61"/>
      <c r="H182" s="91"/>
      <c r="I182" s="91"/>
      <c r="J182" s="78"/>
      <c r="K182" s="75"/>
      <c r="L182" s="31"/>
      <c r="M182" s="15"/>
      <c r="N182" s="34" t="s">
        <v>139</v>
      </c>
      <c r="O182" s="18"/>
      <c r="P182" s="18"/>
      <c r="Q182" s="26"/>
      <c r="R182" s="19"/>
      <c r="S182" s="20"/>
      <c r="T182" t="s">
        <v>127</v>
      </c>
    </row>
    <row r="183" spans="1:20" ht="34.5" customHeight="1" thickBot="1" x14ac:dyDescent="0.45">
      <c r="A183" s="53">
        <v>180</v>
      </c>
      <c r="B183" s="87"/>
      <c r="C183" s="82"/>
      <c r="D183" s="54" t="s">
        <v>398</v>
      </c>
      <c r="E183" s="14"/>
      <c r="F183" s="65" t="s">
        <v>399</v>
      </c>
      <c r="G183" s="61" t="s">
        <v>400</v>
      </c>
      <c r="H183" s="108">
        <v>-3.8</v>
      </c>
      <c r="I183" s="127">
        <v>19.100000000000001</v>
      </c>
      <c r="J183" s="78">
        <v>38.458300000000001</v>
      </c>
      <c r="K183" s="75">
        <v>3313.4</v>
      </c>
      <c r="L183" s="31">
        <v>1</v>
      </c>
      <c r="M183" s="15">
        <v>1</v>
      </c>
      <c r="N183" s="34" t="s">
        <v>317</v>
      </c>
      <c r="O183" s="18">
        <v>1</v>
      </c>
      <c r="P183" s="18"/>
      <c r="Q183" s="26"/>
      <c r="R183" s="19"/>
      <c r="S183" s="20"/>
    </row>
    <row r="184" spans="1:20" ht="34.5" customHeight="1" thickBot="1" x14ac:dyDescent="0.45">
      <c r="A184" s="53">
        <v>181</v>
      </c>
      <c r="B184" s="87"/>
      <c r="C184" s="82"/>
      <c r="D184" s="54"/>
      <c r="E184" s="14"/>
      <c r="F184" s="62" t="s">
        <v>313</v>
      </c>
      <c r="G184" s="90" t="s">
        <v>314</v>
      </c>
      <c r="H184" s="91"/>
      <c r="I184" s="91"/>
      <c r="J184" s="78" t="s">
        <v>315</v>
      </c>
      <c r="K184" s="75" t="s">
        <v>316</v>
      </c>
      <c r="L184" s="31">
        <v>1</v>
      </c>
      <c r="M184" s="15">
        <v>1</v>
      </c>
      <c r="N184" s="34" t="s">
        <v>139</v>
      </c>
      <c r="O184" s="18"/>
      <c r="P184" s="18"/>
      <c r="Q184" s="26">
        <v>1</v>
      </c>
      <c r="R184" s="19"/>
      <c r="S184" s="20"/>
    </row>
    <row r="185" spans="1:20" ht="34.5" customHeight="1" thickBot="1" x14ac:dyDescent="0.45">
      <c r="A185" s="53">
        <v>182</v>
      </c>
      <c r="B185" s="87"/>
      <c r="C185" s="82"/>
      <c r="D185" s="54"/>
      <c r="E185" s="14"/>
      <c r="F185" s="62" t="s">
        <v>396</v>
      </c>
      <c r="G185" s="90" t="s">
        <v>393</v>
      </c>
      <c r="H185" s="91"/>
      <c r="I185" s="91"/>
      <c r="J185" s="78">
        <v>47.519627037338203</v>
      </c>
      <c r="K185" s="75">
        <v>2289</v>
      </c>
      <c r="L185" s="31">
        <v>1</v>
      </c>
      <c r="M185" s="15">
        <v>1</v>
      </c>
      <c r="N185" s="34" t="s">
        <v>317</v>
      </c>
      <c r="O185" s="18"/>
      <c r="P185" s="18"/>
      <c r="Q185" s="26">
        <v>1</v>
      </c>
      <c r="R185" s="19"/>
      <c r="S185" s="20"/>
    </row>
    <row r="186" spans="1:20" ht="34.5" customHeight="1" thickBot="1" x14ac:dyDescent="0.45">
      <c r="A186" s="53">
        <v>183</v>
      </c>
      <c r="B186" s="87"/>
      <c r="C186" s="82"/>
      <c r="D186" s="54"/>
      <c r="E186" s="14"/>
      <c r="F186" s="62" t="s">
        <v>391</v>
      </c>
      <c r="G186" s="90"/>
      <c r="H186" s="91"/>
      <c r="I186" s="91"/>
      <c r="J186" s="78"/>
      <c r="K186" s="75"/>
      <c r="L186" s="31">
        <v>1</v>
      </c>
      <c r="M186" s="15">
        <v>1</v>
      </c>
      <c r="N186" s="34" t="s">
        <v>139</v>
      </c>
      <c r="O186" s="18"/>
      <c r="P186" s="18"/>
      <c r="Q186" s="26">
        <v>1</v>
      </c>
      <c r="R186" s="19"/>
      <c r="S186" s="20"/>
    </row>
    <row r="187" spans="1:20" ht="34.5" customHeight="1" thickBot="1" x14ac:dyDescent="0.45">
      <c r="A187" s="53">
        <v>184</v>
      </c>
      <c r="B187" s="87"/>
      <c r="C187" s="82"/>
      <c r="D187" s="54"/>
      <c r="E187" s="14"/>
      <c r="F187" s="63"/>
      <c r="G187" s="61"/>
      <c r="H187" s="91"/>
      <c r="I187" s="91"/>
      <c r="J187" s="78"/>
      <c r="K187" s="75"/>
      <c r="L187" s="31"/>
      <c r="M187" s="15"/>
      <c r="N187" s="34"/>
      <c r="O187" s="18"/>
      <c r="P187" s="18"/>
      <c r="Q187" s="26"/>
      <c r="R187" s="19"/>
      <c r="S187" s="20"/>
    </row>
    <row r="188" spans="1:20" ht="34.5" customHeight="1" thickBot="1" x14ac:dyDescent="0.45">
      <c r="A188" s="53">
        <v>185</v>
      </c>
      <c r="B188" s="87"/>
      <c r="C188" s="82"/>
      <c r="D188" s="54"/>
      <c r="E188" s="14"/>
      <c r="F188" s="63"/>
      <c r="G188" s="61"/>
      <c r="H188" s="91"/>
      <c r="I188" s="91"/>
      <c r="J188" s="78"/>
      <c r="K188" s="75"/>
      <c r="L188" s="31"/>
      <c r="M188" s="15"/>
      <c r="N188" s="34"/>
      <c r="O188" s="18"/>
      <c r="P188" s="18"/>
      <c r="Q188" s="26"/>
      <c r="R188" s="19"/>
      <c r="S188" s="20"/>
    </row>
    <row r="189" spans="1:20" ht="34.5" customHeight="1" thickBot="1" x14ac:dyDescent="0.45">
      <c r="A189" s="53">
        <v>186</v>
      </c>
      <c r="B189" s="87"/>
      <c r="C189" s="82"/>
      <c r="D189" s="54"/>
      <c r="E189" s="14"/>
      <c r="F189" s="63"/>
      <c r="G189" s="61"/>
      <c r="H189" s="91"/>
      <c r="I189" s="91"/>
      <c r="J189" s="78"/>
      <c r="K189" s="75"/>
      <c r="L189" s="31"/>
      <c r="M189" s="15"/>
      <c r="N189" s="34"/>
      <c r="O189" s="18"/>
      <c r="P189" s="18"/>
      <c r="Q189" s="26"/>
      <c r="R189" s="19"/>
      <c r="S189" s="20"/>
    </row>
    <row r="190" spans="1:20" ht="34.5" customHeight="1" thickBot="1" x14ac:dyDescent="0.45">
      <c r="A190" s="53">
        <v>187</v>
      </c>
      <c r="B190" s="87"/>
      <c r="C190" s="82"/>
      <c r="D190" s="54"/>
      <c r="E190" s="14"/>
      <c r="F190" s="63"/>
      <c r="G190" s="61"/>
      <c r="H190" s="91"/>
      <c r="I190" s="91"/>
      <c r="J190" s="78"/>
      <c r="K190" s="75"/>
      <c r="L190" s="31"/>
      <c r="M190" s="15"/>
      <c r="N190" s="34"/>
      <c r="O190" s="18"/>
      <c r="P190" s="18"/>
      <c r="Q190" s="26"/>
      <c r="R190" s="19"/>
      <c r="S190" s="20"/>
    </row>
    <row r="191" spans="1:20" ht="34.5" customHeight="1" thickBot="1" x14ac:dyDescent="0.45">
      <c r="A191" s="53">
        <v>188</v>
      </c>
      <c r="B191" s="87"/>
      <c r="C191" s="82"/>
      <c r="D191" s="54"/>
      <c r="E191" s="14"/>
      <c r="F191" s="63"/>
      <c r="G191" s="61"/>
      <c r="H191" s="91"/>
      <c r="I191" s="91"/>
      <c r="J191" s="78"/>
      <c r="K191" s="75"/>
      <c r="L191" s="31"/>
      <c r="M191" s="15"/>
      <c r="N191" s="34"/>
      <c r="O191" s="18"/>
      <c r="P191" s="18"/>
      <c r="Q191" s="26"/>
      <c r="R191" s="19"/>
      <c r="S191" s="20"/>
    </row>
    <row r="192" spans="1:20" ht="34.5" customHeight="1" thickBot="1" x14ac:dyDescent="0.45">
      <c r="A192" s="53">
        <v>189</v>
      </c>
      <c r="B192" s="87"/>
      <c r="C192" s="82"/>
      <c r="D192" s="54"/>
      <c r="E192" s="14"/>
      <c r="F192" s="63"/>
      <c r="G192" s="61"/>
      <c r="H192" s="91"/>
      <c r="I192" s="91"/>
      <c r="J192" s="78"/>
      <c r="K192" s="75"/>
      <c r="L192" s="31"/>
      <c r="M192" s="15"/>
      <c r="N192" s="34"/>
      <c r="O192" s="18"/>
      <c r="P192" s="18"/>
      <c r="Q192" s="26"/>
      <c r="R192" s="19"/>
      <c r="S192" s="20"/>
    </row>
    <row r="193" spans="1:19" ht="34.5" customHeight="1" thickBot="1" x14ac:dyDescent="0.45">
      <c r="A193" s="53">
        <v>190</v>
      </c>
      <c r="B193" s="87"/>
      <c r="C193" s="82"/>
      <c r="D193" s="54"/>
      <c r="E193" s="14"/>
      <c r="F193" s="63"/>
      <c r="G193" s="61"/>
      <c r="H193" s="91"/>
      <c r="I193" s="91"/>
      <c r="J193" s="78"/>
      <c r="K193" s="75"/>
      <c r="L193" s="31"/>
      <c r="M193" s="15"/>
      <c r="N193" s="34"/>
      <c r="O193" s="18"/>
      <c r="P193" s="18"/>
      <c r="Q193" s="26"/>
      <c r="R193" s="19"/>
      <c r="S193" s="20"/>
    </row>
    <row r="194" spans="1:19" ht="34.5" customHeight="1" thickBot="1" x14ac:dyDescent="0.45">
      <c r="A194" s="53">
        <v>191</v>
      </c>
      <c r="B194" s="87"/>
      <c r="C194" s="82"/>
      <c r="D194" s="54"/>
      <c r="E194" s="14"/>
      <c r="F194" s="63"/>
      <c r="G194" s="61"/>
      <c r="H194" s="91"/>
      <c r="I194" s="91"/>
      <c r="J194" s="78"/>
      <c r="K194" s="75"/>
      <c r="L194" s="31"/>
      <c r="M194" s="15"/>
      <c r="N194" s="34"/>
      <c r="O194" s="18"/>
      <c r="P194" s="18"/>
      <c r="Q194" s="26"/>
      <c r="R194" s="19"/>
      <c r="S194" s="20"/>
    </row>
    <row r="195" spans="1:19" ht="34.5" customHeight="1" thickBot="1" x14ac:dyDescent="0.45">
      <c r="A195" s="53">
        <v>192</v>
      </c>
      <c r="B195" s="87"/>
      <c r="C195" s="82"/>
      <c r="D195" s="54"/>
      <c r="E195" s="14"/>
      <c r="F195" s="63"/>
      <c r="G195" s="61"/>
      <c r="H195" s="91"/>
      <c r="I195" s="91"/>
      <c r="J195" s="78"/>
      <c r="K195" s="75"/>
      <c r="L195" s="31"/>
      <c r="M195" s="15"/>
      <c r="N195" s="34"/>
      <c r="O195" s="18"/>
      <c r="P195" s="18"/>
      <c r="Q195" s="26"/>
      <c r="R195" s="19"/>
      <c r="S195" s="20"/>
    </row>
    <row r="196" spans="1:19" ht="34.5" customHeight="1" thickBot="1" x14ac:dyDescent="0.45">
      <c r="A196" s="53">
        <v>193</v>
      </c>
      <c r="B196" s="87"/>
      <c r="C196" s="82"/>
      <c r="D196" s="54"/>
      <c r="E196" s="14"/>
      <c r="F196" s="63"/>
      <c r="G196" s="61"/>
      <c r="H196" s="91"/>
      <c r="I196" s="91"/>
      <c r="J196" s="78"/>
      <c r="K196" s="75"/>
      <c r="L196" s="31"/>
      <c r="M196" s="15"/>
      <c r="N196" s="34"/>
      <c r="O196" s="18"/>
      <c r="P196" s="18"/>
      <c r="Q196" s="26"/>
      <c r="R196" s="19"/>
      <c r="S196" s="20"/>
    </row>
    <row r="197" spans="1:19" ht="34.5" customHeight="1" thickBot="1" x14ac:dyDescent="0.45">
      <c r="A197" s="53">
        <v>194</v>
      </c>
      <c r="B197" s="87"/>
      <c r="C197" s="82"/>
      <c r="D197" s="54"/>
      <c r="E197" s="14"/>
      <c r="F197" s="63"/>
      <c r="G197" s="61"/>
      <c r="H197" s="91"/>
      <c r="I197" s="91"/>
      <c r="J197" s="78"/>
      <c r="K197" s="75"/>
      <c r="L197" s="31"/>
      <c r="M197" s="15"/>
      <c r="N197" s="34"/>
      <c r="O197" s="18"/>
      <c r="P197" s="18"/>
      <c r="Q197" s="26"/>
      <c r="R197" s="19"/>
      <c r="S197" s="20"/>
    </row>
    <row r="198" spans="1:19" ht="34.5" customHeight="1" thickBot="1" x14ac:dyDescent="0.45">
      <c r="A198" s="53">
        <v>195</v>
      </c>
      <c r="B198" s="87"/>
      <c r="C198" s="82"/>
      <c r="D198" s="54"/>
      <c r="E198" s="14"/>
      <c r="F198" s="63"/>
      <c r="G198" s="61"/>
      <c r="H198" s="91"/>
      <c r="I198" s="91"/>
      <c r="J198" s="78"/>
      <c r="K198" s="75"/>
      <c r="L198" s="31"/>
      <c r="M198" s="15"/>
      <c r="N198" s="34"/>
      <c r="O198" s="18"/>
      <c r="P198" s="18"/>
      <c r="Q198" s="26"/>
      <c r="R198" s="19"/>
      <c r="S198" s="20"/>
    </row>
    <row r="199" spans="1:19" ht="34.5" customHeight="1" thickBot="1" x14ac:dyDescent="0.45">
      <c r="A199" s="53">
        <v>196</v>
      </c>
      <c r="B199" s="87"/>
      <c r="C199" s="82"/>
      <c r="D199" s="54"/>
      <c r="E199" s="14"/>
      <c r="F199" s="63"/>
      <c r="G199" s="61"/>
      <c r="H199" s="91"/>
      <c r="I199" s="91"/>
      <c r="J199" s="78"/>
      <c r="K199" s="75"/>
      <c r="L199" s="31"/>
      <c r="M199" s="15"/>
      <c r="N199" s="34"/>
      <c r="O199" s="18"/>
      <c r="P199" s="18"/>
      <c r="Q199" s="26"/>
      <c r="R199" s="19"/>
      <c r="S199" s="20"/>
    </row>
    <row r="200" spans="1:19" ht="34.5" customHeight="1" thickBot="1" x14ac:dyDescent="0.45">
      <c r="A200" s="53">
        <v>197</v>
      </c>
      <c r="B200" s="87"/>
      <c r="C200" s="82"/>
      <c r="D200" s="54"/>
      <c r="E200" s="14"/>
      <c r="F200" s="63"/>
      <c r="G200" s="61"/>
      <c r="H200" s="91"/>
      <c r="I200" s="91"/>
      <c r="J200" s="78"/>
      <c r="K200" s="75"/>
      <c r="L200" s="31"/>
      <c r="M200" s="15"/>
      <c r="N200" s="34"/>
      <c r="O200" s="18"/>
      <c r="P200" s="18"/>
      <c r="Q200" s="26"/>
      <c r="R200" s="19"/>
      <c r="S200" s="20"/>
    </row>
    <row r="201" spans="1:19" ht="34.5" customHeight="1" thickBot="1" x14ac:dyDescent="0.45">
      <c r="A201" s="53">
        <v>198</v>
      </c>
      <c r="B201" s="87"/>
      <c r="C201" s="82"/>
      <c r="D201" s="54"/>
      <c r="E201" s="14"/>
      <c r="F201" s="63"/>
      <c r="G201" s="61"/>
      <c r="H201" s="91"/>
      <c r="I201" s="91"/>
      <c r="J201" s="78"/>
      <c r="K201" s="75"/>
      <c r="L201" s="31"/>
      <c r="M201" s="15"/>
      <c r="N201" s="34"/>
      <c r="O201" s="18"/>
      <c r="P201" s="18"/>
      <c r="Q201" s="26"/>
      <c r="R201" s="19"/>
      <c r="S201" s="20"/>
    </row>
    <row r="202" spans="1:19" ht="34.5" customHeight="1" thickBot="1" x14ac:dyDescent="0.45">
      <c r="A202" s="53">
        <v>199</v>
      </c>
      <c r="B202" s="87"/>
      <c r="C202" s="82"/>
      <c r="D202" s="54"/>
      <c r="E202" s="14"/>
      <c r="F202" s="63"/>
      <c r="G202" s="61"/>
      <c r="H202" s="91"/>
      <c r="I202" s="91"/>
      <c r="J202" s="78"/>
      <c r="K202" s="75"/>
      <c r="L202" s="31"/>
      <c r="M202" s="15"/>
      <c r="N202" s="34"/>
      <c r="O202" s="18"/>
      <c r="P202" s="18"/>
      <c r="Q202" s="26"/>
      <c r="R202" s="19"/>
      <c r="S202" s="20"/>
    </row>
    <row r="203" spans="1:19" ht="34.5" customHeight="1" thickBot="1" x14ac:dyDescent="0.45">
      <c r="A203" s="53">
        <v>200</v>
      </c>
      <c r="B203" s="87"/>
      <c r="C203" s="82"/>
      <c r="D203" s="54"/>
      <c r="E203" s="14"/>
      <c r="F203" s="63"/>
      <c r="G203" s="61"/>
      <c r="H203" s="91"/>
      <c r="I203" s="91"/>
      <c r="J203" s="78"/>
      <c r="K203" s="75"/>
      <c r="L203" s="31"/>
      <c r="M203" s="15"/>
      <c r="N203" s="34"/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80" t="s">
        <v>114</v>
      </c>
      <c r="B1" s="181"/>
      <c r="C1" s="182"/>
      <c r="D1" s="183" t="s">
        <v>0</v>
      </c>
      <c r="E1" s="184"/>
      <c r="F1" s="187" t="s">
        <v>357</v>
      </c>
      <c r="G1" s="187"/>
      <c r="H1" s="187"/>
      <c r="I1" s="188"/>
      <c r="M1" s="6"/>
      <c r="N1" s="29" t="s">
        <v>137</v>
      </c>
      <c r="P1" t="s">
        <v>145</v>
      </c>
    </row>
    <row r="2" spans="1:20" ht="44" customHeight="1" thickBot="1" x14ac:dyDescent="0.45">
      <c r="A2" s="181"/>
      <c r="B2" s="181"/>
      <c r="C2" s="182"/>
      <c r="D2" s="185">
        <v>45914</v>
      </c>
      <c r="E2" s="186"/>
      <c r="F2" s="189"/>
      <c r="G2" s="189"/>
      <c r="H2" s="189"/>
      <c r="I2" s="190"/>
      <c r="J2" s="22"/>
      <c r="K2" s="22" t="s">
        <v>136</v>
      </c>
      <c r="L2" s="22"/>
      <c r="M2" s="22">
        <v>1</v>
      </c>
      <c r="N2" s="22">
        <v>2</v>
      </c>
      <c r="O2" s="22">
        <v>3</v>
      </c>
      <c r="P2" s="28" t="s">
        <v>144</v>
      </c>
      <c r="Q2" s="28" t="s">
        <v>143</v>
      </c>
      <c r="R2" s="1"/>
      <c r="S2" s="23" t="s">
        <v>142</v>
      </c>
    </row>
    <row r="3" spans="1:20" ht="40.049999999999997" customHeight="1" thickBot="1" x14ac:dyDescent="0.45">
      <c r="A3" s="8" t="s">
        <v>93</v>
      </c>
      <c r="B3" s="35" t="s">
        <v>128</v>
      </c>
      <c r="C3" s="30" t="s">
        <v>101</v>
      </c>
      <c r="D3" s="102" t="s">
        <v>1</v>
      </c>
      <c r="E3" s="11" t="s">
        <v>2</v>
      </c>
      <c r="F3" s="103" t="s">
        <v>376</v>
      </c>
      <c r="G3" s="103" t="s">
        <v>377</v>
      </c>
      <c r="H3" s="100" t="s">
        <v>356</v>
      </c>
      <c r="I3" s="101" t="s">
        <v>186</v>
      </c>
      <c r="J3" s="36" t="s">
        <v>146</v>
      </c>
      <c r="K3" s="37" t="s">
        <v>138</v>
      </c>
      <c r="L3" s="36" t="s">
        <v>105</v>
      </c>
      <c r="M3" s="38" t="s">
        <v>131</v>
      </c>
      <c r="N3" s="39" t="s">
        <v>135</v>
      </c>
      <c r="O3" s="40" t="s">
        <v>130</v>
      </c>
      <c r="P3" s="40" t="s">
        <v>132</v>
      </c>
      <c r="Q3" s="41" t="s">
        <v>133</v>
      </c>
      <c r="R3" s="1"/>
      <c r="S3" s="24" t="s">
        <v>141</v>
      </c>
      <c r="T3" s="2"/>
    </row>
    <row r="4" spans="1:20" ht="51" customHeight="1" thickBot="1" x14ac:dyDescent="0.45">
      <c r="A4" s="13">
        <v>1</v>
      </c>
      <c r="B4" s="27" t="str">
        <f t="shared" ref="B4:B15" si="0">IF( OR( TRIM($F4)&lt;&gt;"", TRIM($G4)&lt;&gt;""), "1", "2" )</f>
        <v>1</v>
      </c>
      <c r="C4" s="14"/>
      <c r="D4" s="93" t="s">
        <v>358</v>
      </c>
      <c r="E4" s="10" t="s">
        <v>65</v>
      </c>
      <c r="F4" s="152">
        <v>18.100000000000001</v>
      </c>
      <c r="G4" s="162">
        <v>32.1</v>
      </c>
      <c r="H4" s="94" t="s">
        <v>330</v>
      </c>
      <c r="I4" s="95" t="s">
        <v>331</v>
      </c>
      <c r="J4" s="31">
        <v>1</v>
      </c>
      <c r="K4" s="15">
        <v>1</v>
      </c>
      <c r="L4" s="34" t="s">
        <v>97</v>
      </c>
      <c r="M4" s="18"/>
      <c r="N4" s="18"/>
      <c r="O4" s="26">
        <v>1</v>
      </c>
      <c r="P4" s="19"/>
      <c r="Q4" s="20"/>
      <c r="R4" s="1"/>
      <c r="S4" s="24" t="s">
        <v>140</v>
      </c>
    </row>
    <row r="5" spans="1:20" ht="51" customHeight="1" thickBot="1" x14ac:dyDescent="0.45">
      <c r="A5" s="13">
        <v>2</v>
      </c>
      <c r="B5" s="27" t="str">
        <f t="shared" si="0"/>
        <v>1</v>
      </c>
      <c r="C5" s="14"/>
      <c r="D5" s="93" t="s">
        <v>359</v>
      </c>
      <c r="E5" s="10" t="s">
        <v>104</v>
      </c>
      <c r="F5" s="153">
        <v>22.6</v>
      </c>
      <c r="G5" s="163">
        <v>31.9</v>
      </c>
      <c r="H5" s="94" t="s">
        <v>332</v>
      </c>
      <c r="I5" s="96" t="s">
        <v>333</v>
      </c>
      <c r="J5" s="31">
        <v>1</v>
      </c>
      <c r="K5" s="15">
        <v>1</v>
      </c>
      <c r="L5" s="34" t="s">
        <v>97</v>
      </c>
      <c r="M5" s="18"/>
      <c r="N5" s="18"/>
      <c r="O5" s="26">
        <v>1</v>
      </c>
      <c r="P5" s="19"/>
      <c r="Q5" s="20"/>
      <c r="R5" s="1"/>
      <c r="S5" s="25" t="s">
        <v>134</v>
      </c>
    </row>
    <row r="6" spans="1:20" ht="51" customHeight="1" thickBot="1" x14ac:dyDescent="0.45">
      <c r="A6" s="13">
        <v>3</v>
      </c>
      <c r="B6" s="27" t="str">
        <f t="shared" si="0"/>
        <v>1</v>
      </c>
      <c r="C6" s="14"/>
      <c r="D6" s="93" t="s">
        <v>360</v>
      </c>
      <c r="E6" s="3" t="s">
        <v>77</v>
      </c>
      <c r="F6" s="154">
        <v>23.8</v>
      </c>
      <c r="G6" s="164">
        <v>30.8</v>
      </c>
      <c r="H6" s="94" t="s">
        <v>334</v>
      </c>
      <c r="I6" s="96" t="s">
        <v>331</v>
      </c>
      <c r="J6" s="31">
        <v>1</v>
      </c>
      <c r="K6" s="15">
        <v>1</v>
      </c>
      <c r="L6" s="34" t="s">
        <v>97</v>
      </c>
      <c r="M6" s="18"/>
      <c r="N6" s="18"/>
      <c r="O6" s="26">
        <v>1</v>
      </c>
      <c r="P6" s="19"/>
      <c r="Q6" s="20"/>
      <c r="R6" s="1"/>
      <c r="S6" s="21" t="s">
        <v>147</v>
      </c>
    </row>
    <row r="7" spans="1:20" ht="51" customHeight="1" thickBot="1" x14ac:dyDescent="0.45">
      <c r="A7" s="13">
        <v>4</v>
      </c>
      <c r="B7" s="27" t="str">
        <f t="shared" si="0"/>
        <v>1</v>
      </c>
      <c r="C7" s="14"/>
      <c r="D7" s="93" t="s">
        <v>361</v>
      </c>
      <c r="E7" s="3" t="s">
        <v>81</v>
      </c>
      <c r="F7" s="154">
        <v>23.6</v>
      </c>
      <c r="G7" s="165">
        <v>34.799999999999997</v>
      </c>
      <c r="H7" s="94" t="s">
        <v>335</v>
      </c>
      <c r="I7" s="95" t="s">
        <v>336</v>
      </c>
      <c r="J7" s="31">
        <v>1</v>
      </c>
      <c r="K7" s="15">
        <v>1</v>
      </c>
      <c r="L7" s="34" t="s">
        <v>97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 t="shared" si="0"/>
        <v>1</v>
      </c>
      <c r="C8" s="14"/>
      <c r="D8" s="93" t="s">
        <v>362</v>
      </c>
      <c r="E8" s="10" t="s">
        <v>96</v>
      </c>
      <c r="F8" s="153">
        <v>22.8</v>
      </c>
      <c r="G8" s="163">
        <v>31.3</v>
      </c>
      <c r="H8" s="94" t="s">
        <v>337</v>
      </c>
      <c r="I8" s="95" t="s">
        <v>338</v>
      </c>
      <c r="J8" s="31">
        <v>1</v>
      </c>
      <c r="K8" s="15">
        <v>1</v>
      </c>
      <c r="L8" s="34" t="s">
        <v>97</v>
      </c>
      <c r="M8" s="18"/>
      <c r="N8" s="18"/>
      <c r="O8" s="26">
        <v>1</v>
      </c>
      <c r="P8" s="19"/>
      <c r="Q8" s="20"/>
      <c r="R8" s="1"/>
      <c r="S8" s="85" t="s">
        <v>234</v>
      </c>
    </row>
    <row r="9" spans="1:20" ht="51" customHeight="1" thickBot="1" x14ac:dyDescent="0.45">
      <c r="A9" s="13">
        <v>6</v>
      </c>
      <c r="B9" s="27" t="str">
        <f t="shared" si="0"/>
        <v>1</v>
      </c>
      <c r="C9" s="14"/>
      <c r="D9" s="93" t="s">
        <v>363</v>
      </c>
      <c r="E9" s="10" t="s">
        <v>89</v>
      </c>
      <c r="F9" s="155">
        <v>25.9</v>
      </c>
      <c r="G9" s="166">
        <v>33.6</v>
      </c>
      <c r="H9" s="94" t="s">
        <v>339</v>
      </c>
      <c r="I9" s="95" t="s">
        <v>340</v>
      </c>
      <c r="J9" s="31">
        <v>1</v>
      </c>
      <c r="K9" s="15">
        <v>1</v>
      </c>
      <c r="L9" s="34" t="s">
        <v>97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 t="shared" si="0"/>
        <v>1</v>
      </c>
      <c r="C10" s="14"/>
      <c r="D10" s="93" t="s">
        <v>369</v>
      </c>
      <c r="E10" s="10" t="s">
        <v>353</v>
      </c>
      <c r="F10" s="156">
        <v>15.4</v>
      </c>
      <c r="G10" s="153">
        <v>22.5</v>
      </c>
      <c r="H10" s="94" t="s">
        <v>354</v>
      </c>
      <c r="I10" s="95" t="s">
        <v>355</v>
      </c>
      <c r="J10" s="31">
        <v>1</v>
      </c>
      <c r="K10" s="15">
        <v>1</v>
      </c>
      <c r="L10" s="34" t="s">
        <v>97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 t="shared" si="0"/>
        <v>1</v>
      </c>
      <c r="C11" s="14"/>
      <c r="D11" s="93" t="s">
        <v>366</v>
      </c>
      <c r="E11" s="3" t="s">
        <v>372</v>
      </c>
      <c r="F11" s="157">
        <v>5</v>
      </c>
      <c r="G11" s="167">
        <v>8.9</v>
      </c>
      <c r="H11" s="94" t="s">
        <v>347</v>
      </c>
      <c r="I11" s="96" t="s">
        <v>348</v>
      </c>
      <c r="J11" s="31">
        <v>1</v>
      </c>
      <c r="K11" s="15">
        <v>1</v>
      </c>
      <c r="L11" s="34" t="s">
        <v>97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 t="shared" si="0"/>
        <v>1</v>
      </c>
      <c r="C12" s="14"/>
      <c r="D12" s="93" t="s">
        <v>364</v>
      </c>
      <c r="E12" s="3" t="s">
        <v>341</v>
      </c>
      <c r="F12" s="158">
        <v>3.7</v>
      </c>
      <c r="G12" s="156">
        <v>15.4</v>
      </c>
      <c r="H12" s="94" t="s">
        <v>342</v>
      </c>
      <c r="I12" s="96" t="s">
        <v>343</v>
      </c>
      <c r="J12" s="31">
        <v>1</v>
      </c>
      <c r="K12" s="15">
        <v>1</v>
      </c>
      <c r="L12" s="34" t="s">
        <v>97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 t="shared" si="0"/>
        <v>1</v>
      </c>
      <c r="C13" s="14"/>
      <c r="D13" s="93" t="s">
        <v>365</v>
      </c>
      <c r="E13" s="3" t="s">
        <v>344</v>
      </c>
      <c r="F13" s="159">
        <v>6.4</v>
      </c>
      <c r="G13" s="168">
        <v>13.4</v>
      </c>
      <c r="H13" s="94" t="s">
        <v>345</v>
      </c>
      <c r="I13" s="96" t="s">
        <v>346</v>
      </c>
      <c r="J13" s="31">
        <v>1</v>
      </c>
      <c r="K13" s="15">
        <v>1</v>
      </c>
      <c r="L13" s="34" t="s">
        <v>97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 t="shared" si="0"/>
        <v>1</v>
      </c>
      <c r="C14" s="14"/>
      <c r="D14" s="93" t="s">
        <v>367</v>
      </c>
      <c r="E14" s="3" t="s">
        <v>370</v>
      </c>
      <c r="F14" s="160">
        <v>4.8</v>
      </c>
      <c r="G14" s="169">
        <v>27.5</v>
      </c>
      <c r="H14" s="94" t="s">
        <v>349</v>
      </c>
      <c r="I14" s="96" t="s">
        <v>350</v>
      </c>
      <c r="J14" s="31">
        <v>1</v>
      </c>
      <c r="K14" s="15">
        <v>1</v>
      </c>
      <c r="L14" s="34" t="s">
        <v>97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 t="shared" si="0"/>
        <v>1</v>
      </c>
      <c r="C15" s="14"/>
      <c r="D15" s="93" t="s">
        <v>368</v>
      </c>
      <c r="E15" s="3" t="s">
        <v>371</v>
      </c>
      <c r="F15" s="161">
        <v>17.399999999999999</v>
      </c>
      <c r="G15" s="170">
        <v>19.3</v>
      </c>
      <c r="H15" s="94" t="s">
        <v>351</v>
      </c>
      <c r="I15" s="95" t="s">
        <v>352</v>
      </c>
      <c r="J15" s="31">
        <v>1</v>
      </c>
      <c r="K15" s="15">
        <v>1</v>
      </c>
      <c r="L15" s="34" t="s">
        <v>97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97"/>
      <c r="I16" s="96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97"/>
      <c r="I17" s="96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97"/>
      <c r="I18" s="98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97"/>
      <c r="I19" s="99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97"/>
      <c r="I20" s="99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97"/>
      <c r="I21" s="99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97"/>
      <c r="I22" s="98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97"/>
      <c r="I23" s="99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97"/>
      <c r="I24" s="98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49" workbookViewId="0">
      <selection activeCell="E162" sqref="E16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 t="s">
        <v>113</v>
      </c>
      <c r="C2" t="s">
        <v>113</v>
      </c>
      <c r="D2" t="s">
        <v>113</v>
      </c>
      <c r="E2" t="s">
        <v>115</v>
      </c>
      <c r="F2" t="s">
        <v>113</v>
      </c>
      <c r="G2" t="s">
        <v>113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113</v>
      </c>
      <c r="D48" t="s">
        <v>113</v>
      </c>
      <c r="E48" t="s">
        <v>115</v>
      </c>
      <c r="F48">
        <v>-2.4</v>
      </c>
      <c r="G48" t="s">
        <v>113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113</v>
      </c>
      <c r="D49" t="s">
        <v>113</v>
      </c>
      <c r="E49" t="s">
        <v>115</v>
      </c>
      <c r="F49">
        <v>-1.7</v>
      </c>
      <c r="G49" t="s">
        <v>113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113</v>
      </c>
      <c r="D54" t="s">
        <v>113</v>
      </c>
      <c r="E54" t="s">
        <v>115</v>
      </c>
      <c r="F54">
        <v>5.3</v>
      </c>
      <c r="G54" t="s">
        <v>113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113</v>
      </c>
      <c r="D68" t="s">
        <v>113</v>
      </c>
      <c r="E68" t="s">
        <v>115</v>
      </c>
      <c r="F68">
        <v>7</v>
      </c>
      <c r="G68" t="s">
        <v>113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113</v>
      </c>
      <c r="D70" t="s">
        <v>113</v>
      </c>
      <c r="E70" t="s">
        <v>115</v>
      </c>
      <c r="F70">
        <v>8.1999999999999993</v>
      </c>
      <c r="G70" t="s">
        <v>113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113</v>
      </c>
      <c r="D73" t="s">
        <v>113</v>
      </c>
      <c r="E73" t="s">
        <v>115</v>
      </c>
      <c r="F73">
        <v>8.1</v>
      </c>
      <c r="G73" t="s">
        <v>113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113</v>
      </c>
      <c r="D96" t="s">
        <v>113</v>
      </c>
      <c r="E96" t="s">
        <v>115</v>
      </c>
      <c r="F96">
        <v>10.8</v>
      </c>
      <c r="G96" t="s">
        <v>113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113</v>
      </c>
      <c r="D97" t="s">
        <v>113</v>
      </c>
      <c r="E97" t="s">
        <v>115</v>
      </c>
      <c r="F97">
        <v>13</v>
      </c>
      <c r="G97" t="s">
        <v>113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113</v>
      </c>
      <c r="D98" t="s">
        <v>113</v>
      </c>
      <c r="E98" t="s">
        <v>115</v>
      </c>
      <c r="F98">
        <v>7.3</v>
      </c>
      <c r="G98" t="s">
        <v>113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113</v>
      </c>
      <c r="D140" t="s">
        <v>113</v>
      </c>
      <c r="E140" t="s">
        <v>113</v>
      </c>
      <c r="F140">
        <v>0</v>
      </c>
      <c r="G140" t="s">
        <v>113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113</v>
      </c>
      <c r="D144" t="s">
        <v>113</v>
      </c>
      <c r="E144" t="s">
        <v>113</v>
      </c>
      <c r="F144">
        <v>0</v>
      </c>
      <c r="G144" t="s">
        <v>113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113</v>
      </c>
      <c r="D147" t="s">
        <v>113</v>
      </c>
      <c r="E147" t="s">
        <v>113</v>
      </c>
      <c r="F147">
        <v>-0.4</v>
      </c>
      <c r="G147" t="s">
        <v>113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48" workbookViewId="0">
      <selection activeCell="F164" sqref="F16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115</v>
      </c>
      <c r="F5">
        <v>5.0999999999999996</v>
      </c>
      <c r="G5" t="s">
        <v>115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115</v>
      </c>
      <c r="F12">
        <v>13.3</v>
      </c>
      <c r="G12" t="s">
        <v>113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115</v>
      </c>
      <c r="F18">
        <v>14.2</v>
      </c>
      <c r="G18" t="s">
        <v>113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115</v>
      </c>
      <c r="F47">
        <v>13.6</v>
      </c>
      <c r="G47" t="s">
        <v>113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113</v>
      </c>
      <c r="D48" t="s">
        <v>113</v>
      </c>
      <c r="E48" t="s">
        <v>115</v>
      </c>
      <c r="F48">
        <v>11.3</v>
      </c>
      <c r="G48" t="s">
        <v>113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113</v>
      </c>
      <c r="D53" t="s">
        <v>113</v>
      </c>
      <c r="E53" t="s">
        <v>115</v>
      </c>
      <c r="F53">
        <v>22.6</v>
      </c>
      <c r="G53" t="s">
        <v>113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113</v>
      </c>
      <c r="D60" t="s">
        <v>113</v>
      </c>
      <c r="E60" t="s">
        <v>115</v>
      </c>
      <c r="F60">
        <v>14.3</v>
      </c>
      <c r="G60" t="s">
        <v>113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113</v>
      </c>
      <c r="D67" t="s">
        <v>113</v>
      </c>
      <c r="E67" t="s">
        <v>115</v>
      </c>
      <c r="F67">
        <v>19.7</v>
      </c>
      <c r="G67" t="s">
        <v>113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115</v>
      </c>
      <c r="F92">
        <v>24.7</v>
      </c>
      <c r="G92" t="s">
        <v>113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113</v>
      </c>
      <c r="D95" t="s">
        <v>113</v>
      </c>
      <c r="E95" t="s">
        <v>115</v>
      </c>
      <c r="F95">
        <v>26.7</v>
      </c>
      <c r="G95" t="s">
        <v>113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113</v>
      </c>
      <c r="D96" t="s">
        <v>113</v>
      </c>
      <c r="E96" t="s">
        <v>115</v>
      </c>
      <c r="F96">
        <v>24.8</v>
      </c>
      <c r="G96" t="s">
        <v>113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113</v>
      </c>
      <c r="D97" t="s">
        <v>113</v>
      </c>
      <c r="E97" t="s">
        <v>115</v>
      </c>
      <c r="F97">
        <v>21.7</v>
      </c>
      <c r="G97" t="s">
        <v>113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113</v>
      </c>
      <c r="D98" t="s">
        <v>113</v>
      </c>
      <c r="E98" t="s">
        <v>115</v>
      </c>
      <c r="F98">
        <v>24.1</v>
      </c>
      <c r="G98" t="s">
        <v>113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113</v>
      </c>
      <c r="D117" t="s">
        <v>113</v>
      </c>
      <c r="E117" t="s">
        <v>115</v>
      </c>
      <c r="F117">
        <v>23.6</v>
      </c>
      <c r="G117" t="s">
        <v>113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113</v>
      </c>
      <c r="D139" t="s">
        <v>113</v>
      </c>
      <c r="E139" t="s">
        <v>113</v>
      </c>
      <c r="F139">
        <v>14.4</v>
      </c>
      <c r="G139" t="s">
        <v>113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113</v>
      </c>
      <c r="D143" t="s">
        <v>113</v>
      </c>
      <c r="E143" t="s">
        <v>113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113</v>
      </c>
      <c r="F146">
        <v>8.9</v>
      </c>
      <c r="G146" t="s">
        <v>113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2025-09-14T13:44:20Z</dcterms:modified>
</cp:coreProperties>
</file>