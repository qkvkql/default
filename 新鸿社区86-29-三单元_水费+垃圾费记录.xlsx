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文档\GIT SYNC\default\"/>
    </mc:Choice>
  </mc:AlternateContent>
  <xr:revisionPtr revIDLastSave="0" documentId="13_ncr:1_{8B3DDF28-BD28-40AF-9A06-C92566C98F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6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 a="1"/>
  <c r="I3" i="1" s="1"/>
  <c r="I6" i="1" a="1"/>
  <c r="I6" i="1" s="1"/>
  <c r="I7" i="1" a="1"/>
  <c r="I7" i="1" s="1"/>
  <c r="I8" i="1" a="1"/>
  <c r="I8" i="1"/>
  <c r="I9" i="1" a="1"/>
  <c r="I9" i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5" i="1" a="1"/>
  <c r="I5" i="1" s="1"/>
  <c r="H15" i="1"/>
  <c r="I15" i="1" s="1" a="1"/>
  <c r="I15" i="1" s="1"/>
  <c r="D16" i="1"/>
  <c r="G16" i="1"/>
  <c r="F18" i="1"/>
  <c r="D19" i="1"/>
  <c r="D18" i="1"/>
  <c r="G15" i="1"/>
  <c r="J15" i="1"/>
  <c r="D14" i="1"/>
  <c r="D13" i="1"/>
  <c r="D12" i="1"/>
  <c r="D11" i="1"/>
  <c r="D10" i="1"/>
  <c r="D9" i="1"/>
  <c r="D8" i="1"/>
  <c r="D7" i="1"/>
  <c r="D6" i="1"/>
  <c r="D5" i="1"/>
  <c r="D4" i="1"/>
  <c r="D3" i="1"/>
  <c r="D15" i="1" l="1"/>
  <c r="E5" i="1" l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4" i="1"/>
  <c r="E3" i="1"/>
  <c r="G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<sst xmlns="http://schemas.openxmlformats.org/spreadsheetml/2006/main" count="21" uniqueCount="19">
  <si>
    <t>门号</t>
  </si>
  <si>
    <t>用量</t>
  </si>
  <si>
    <t>总计</t>
  </si>
  <si>
    <r>
      <rPr>
        <b/>
        <sz val="24"/>
        <color rgb="FFFFFFFF"/>
        <rFont val="微软雅黑"/>
        <family val="2"/>
        <charset val="134"/>
      </rPr>
      <t>水费明细</t>
    </r>
    <r>
      <rPr>
        <b/>
        <sz val="24"/>
        <color rgb="FFFFFFFF"/>
        <rFont val="Arial"/>
        <family val="2"/>
        <scheme val="minor"/>
      </rPr>
      <t>(2026-08)</t>
    </r>
    <phoneticPr fontId="2" type="noConversion"/>
  </si>
  <si>
    <t>水费</t>
    <phoneticPr fontId="2" type="noConversion"/>
  </si>
  <si>
    <t>垃圾费</t>
    <phoneticPr fontId="2" type="noConversion"/>
  </si>
  <si>
    <t>总金额</t>
    <phoneticPr fontId="2" type="noConversion"/>
  </si>
  <si>
    <t>上次
读数</t>
    <phoneticPr fontId="2" type="noConversion"/>
  </si>
  <si>
    <t>本次
读数</t>
    <phoneticPr fontId="2" type="noConversion"/>
  </si>
  <si>
    <t>备注</t>
    <phoneticPr fontId="2" type="noConversion"/>
  </si>
  <si>
    <t>账单用水总量</t>
    <phoneticPr fontId="2" type="noConversion"/>
  </si>
  <si>
    <t>抄表用水总量</t>
    <phoneticPr fontId="2" type="noConversion"/>
  </si>
  <si>
    <t>交费总额</t>
    <phoneticPr fontId="2" type="noConversion"/>
  </si>
  <si>
    <t>草稿</t>
    <phoneticPr fontId="2" type="noConversion"/>
  </si>
  <si>
    <t>175方</t>
    <phoneticPr fontId="2" type="noConversion"/>
  </si>
  <si>
    <t>已收金额</t>
    <phoneticPr fontId="2" type="noConversion"/>
  </si>
  <si>
    <r>
      <t>7</t>
    </r>
    <r>
      <rPr>
        <b/>
        <sz val="12"/>
        <color theme="4" tint="-0.249977111117893"/>
        <rFont val="微软雅黑"/>
        <family val="2"/>
        <charset val="134"/>
      </rPr>
      <t>月90方，</t>
    </r>
    <r>
      <rPr>
        <b/>
        <sz val="12"/>
        <color theme="4" tint="-0.249977111117893"/>
        <rFont val="Arial"/>
        <family val="2"/>
        <scheme val="minor"/>
      </rPr>
      <t>8</t>
    </r>
    <r>
      <rPr>
        <b/>
        <sz val="12"/>
        <color theme="4" tint="-0.249977111117893"/>
        <rFont val="微软雅黑"/>
        <family val="2"/>
        <charset val="134"/>
      </rPr>
      <t>月85方</t>
    </r>
    <phoneticPr fontId="2" type="noConversion"/>
  </si>
  <si>
    <t>实际抄表每方费用</t>
    <phoneticPr fontId="2" type="noConversion"/>
  </si>
  <si>
    <t>状态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</si>
</sst>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  <font>
      <b/>
      <sz val="24"/>
      <color rgb="FFFFFFFF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24"/>
      <color rgb="FFFFFFFF"/>
      <name val="微软雅黑"/>
      <family val="2"/>
      <charset val="134"/>
    </font>
    <font>
      <b/>
      <sz val="24"/>
      <color rgb="FFFFFFFF"/>
      <name val="Arial"/>
      <family val="2"/>
      <charset val="134"/>
      <scheme val="minor"/>
    </font>
    <font>
      <b/>
      <sz val="18"/>
      <color theme="1"/>
      <name val="微软雅黑"/>
      <family val="2"/>
      <charset val="134"/>
    </font>
    <font>
      <sz val="22"/>
      <name val="Arial"/>
      <family val="2"/>
      <scheme val="minor"/>
    </font>
    <font>
      <b/>
      <sz val="22"/>
      <name val="Arial"/>
      <family val="2"/>
      <scheme val="minor"/>
    </font>
    <font>
      <sz val="16"/>
      <color theme="1"/>
      <name val="微软雅黑"/>
      <family val="2"/>
      <charset val="134"/>
    </font>
    <font>
      <sz val="16"/>
      <color theme="1"/>
      <name val="Arial"/>
      <family val="2"/>
      <scheme val="minor"/>
    </font>
    <font>
      <b/>
      <sz val="20"/>
      <color rgb="FFFF0000"/>
      <name val="Arial"/>
      <family val="2"/>
      <scheme val="minor"/>
    </font>
    <font>
      <b/>
      <sz val="12"/>
      <color theme="4" tint="-0.249977111117893"/>
      <name val="Arial"/>
      <family val="2"/>
      <scheme val="minor"/>
    </font>
    <font>
      <b/>
      <sz val="12"/>
      <color theme="4" tint="-0.249977111117893"/>
      <name val="微软雅黑"/>
      <family val="2"/>
      <charset val="134"/>
    </font>
    <font>
      <sz val="16"/>
      <color rgb="FFFF0000"/>
      <name val="Arial"/>
      <family val="2"/>
      <scheme val="minor"/>
    </font>
    <font>
      <b/>
      <sz val="18"/>
      <color theme="5" tint="-0.499984740745262"/>
      <name val="微软雅黑"/>
      <family val="2"/>
      <charset val="134"/>
    </font>
    <font>
      <sz val="22"/>
      <color rgb="FFFF0000"/>
      <name val="Arial"/>
      <family val="2"/>
      <scheme val="minor"/>
    </font>
    <font>
      <sz val="20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176" fontId="12" fillId="0" borderId="1" xfId="0" applyNumberFormat="1" applyFont="1" applyBorder="1" applyAlignment="1">
      <alignment horizontal="right" vertical="center" indent="1"/>
    </xf>
    <xf numFmtId="0" fontId="12" fillId="5" borderId="1" xfId="0" applyFont="1" applyFill="1" applyBorder="1" applyAlignment="1">
      <alignment horizontal="right" vertical="center"/>
    </xf>
    <xf numFmtId="176" fontId="12" fillId="5" borderId="1" xfId="0" applyNumberFormat="1" applyFont="1" applyFill="1" applyBorder="1" applyAlignment="1">
      <alignment horizontal="right" vertical="center" indent="1"/>
    </xf>
    <xf numFmtId="0" fontId="6" fillId="3" borderId="1" xfId="0" applyFont="1" applyFill="1" applyBorder="1" applyAlignment="1">
      <alignment horizontal="center" vertical="center"/>
    </xf>
    <xf numFmtId="2" fontId="13" fillId="0" borderId="2" xfId="0" applyNumberFormat="1" applyFont="1" applyBorder="1" applyAlignment="1">
      <alignment horizontal="right" vertical="center"/>
    </xf>
    <xf numFmtId="1" fontId="13" fillId="0" borderId="2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1" fontId="15" fillId="0" borderId="7" xfId="0" applyNumberFormat="1" applyFont="1" applyBorder="1" applyAlignment="1">
      <alignment vertical="center"/>
    </xf>
    <xf numFmtId="0" fontId="14" fillId="0" borderId="3" xfId="0" applyFont="1" applyBorder="1" applyAlignment="1">
      <alignment horizontal="right" vertical="center"/>
    </xf>
    <xf numFmtId="0" fontId="14" fillId="0" borderId="5" xfId="0" applyFont="1" applyBorder="1" applyAlignment="1">
      <alignment horizontal="right" vertical="center"/>
    </xf>
    <xf numFmtId="176" fontId="19" fillId="0" borderId="4" xfId="0" applyNumberFormat="1" applyFont="1" applyBorder="1" applyAlignment="1">
      <alignment horizontal="left" vertical="center" indent="1"/>
    </xf>
    <xf numFmtId="0" fontId="4" fillId="3" borderId="3" xfId="0" applyFont="1" applyFill="1" applyBorder="1" applyAlignment="1">
      <alignment horizontal="center" vertical="center"/>
    </xf>
    <xf numFmtId="176" fontId="13" fillId="0" borderId="3" xfId="0" applyNumberFormat="1" applyFont="1" applyBorder="1" applyAlignment="1">
      <alignment horizontal="right" vertical="center" indent="1"/>
    </xf>
    <xf numFmtId="176" fontId="13" fillId="5" borderId="3" xfId="0" applyNumberFormat="1" applyFont="1" applyFill="1" applyBorder="1" applyAlignment="1">
      <alignment horizontal="right" vertical="center" indent="1"/>
    </xf>
    <xf numFmtId="2" fontId="13" fillId="0" borderId="5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 indent="1"/>
    </xf>
    <xf numFmtId="0" fontId="20" fillId="6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right" vertical="center" indent="1"/>
    </xf>
    <xf numFmtId="176" fontId="12" fillId="6" borderId="1" xfId="0" applyNumberFormat="1" applyFont="1" applyFill="1" applyBorder="1" applyAlignment="1">
      <alignment horizontal="right" vertical="center" indent="1"/>
    </xf>
    <xf numFmtId="0" fontId="21" fillId="6" borderId="1" xfId="0" applyFont="1" applyFill="1" applyBorder="1" applyAlignment="1">
      <alignment horizontal="right" vertical="center" inden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right" vertical="center" indent="1"/>
    </xf>
    <xf numFmtId="0" fontId="14" fillId="0" borderId="3" xfId="0" applyFont="1" applyBorder="1" applyAlignment="1">
      <alignment horizontal="right" vertical="center"/>
    </xf>
    <xf numFmtId="0" fontId="14" fillId="0" borderId="11" xfId="0" applyFont="1" applyBorder="1" applyAlignment="1">
      <alignment horizontal="right" vertical="center"/>
    </xf>
    <xf numFmtId="0" fontId="14" fillId="0" borderId="6" xfId="0" applyFont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/>
    </xf>
    <xf numFmtId="176" fontId="13" fillId="0" borderId="3" xfId="0" applyNumberFormat="1" applyFont="1" applyBorder="1" applyAlignment="1">
      <alignment horizontal="right" vertical="center" indent="1"/>
    </xf>
    <xf numFmtId="0" fontId="13" fillId="0" borderId="3" xfId="0" applyFont="1" applyBorder="1" applyAlignment="1">
      <alignment horizontal="right" vertical="center" indent="1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5" fillId="0" borderId="5" xfId="0" applyFont="1" applyBorder="1" applyAlignment="1">
      <alignment horizontal="right" vertical="center"/>
    </xf>
    <xf numFmtId="0" fontId="15" fillId="0" borderId="11" xfId="0" applyFont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76" fontId="14" fillId="0" borderId="9" xfId="0" applyNumberFormat="1" applyFont="1" applyBorder="1" applyAlignment="1">
      <alignment horizontal="right" vertical="center"/>
    </xf>
    <xf numFmtId="176" fontId="15" fillId="0" borderId="9" xfId="0" applyNumberFormat="1" applyFont="1" applyBorder="1" applyAlignment="1">
      <alignment horizontal="right" vertical="center"/>
    </xf>
    <xf numFmtId="2" fontId="15" fillId="0" borderId="11" xfId="0" applyNumberFormat="1" applyFont="1" applyBorder="1" applyAlignment="1">
      <alignment horizontal="left" vertical="center" indent="1"/>
    </xf>
    <xf numFmtId="2" fontId="15" fillId="0" borderId="7" xfId="0" applyNumberFormat="1" applyFont="1" applyBorder="1" applyAlignment="1">
      <alignment horizontal="left" vertical="center" indent="1"/>
    </xf>
    <xf numFmtId="1" fontId="15" fillId="0" borderId="9" xfId="0" applyNumberFormat="1" applyFont="1" applyBorder="1" applyAlignment="1">
      <alignment horizontal="left" vertical="center" indent="1"/>
    </xf>
    <xf numFmtId="1" fontId="15" fillId="0" borderId="4" xfId="0" applyNumberFormat="1" applyFont="1" applyBorder="1" applyAlignment="1">
      <alignment horizontal="left" vertical="center" indent="1"/>
    </xf>
    <xf numFmtId="2" fontId="16" fillId="0" borderId="4" xfId="0" applyNumberFormat="1" applyFont="1" applyBorder="1" applyAlignment="1">
      <alignment horizontal="left" vertical="center"/>
    </xf>
    <xf numFmtId="2" fontId="16" fillId="0" borderId="1" xfId="0" applyNumberFormat="1" applyFont="1" applyBorder="1" applyAlignment="1">
      <alignment horizontal="left" vertical="center"/>
    </xf>
  </cellXfs>
  <cellStyles count="1">
    <cellStyle name="常规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sqref="A1:G1"/>
    </sheetView>
  </sheetViews>
  <sheetFormatPr defaultColWidth="12.59765625" defaultRowHeight="15.75" customHeight="1" x14ac:dyDescent="0.35"/>
  <cols>
    <col min="1" max="1" width="8.59765625" customWidth="1"/>
    <col min="2" max="3" width="13.59765625" customWidth="1"/>
    <col min="4" max="4" width="10.59765625" customWidth="1"/>
    <col min="5" max="5" width="16.59765625" customWidth="1"/>
    <col min="6" max="6" width="10.59765625" customWidth="1"/>
    <col min="7" max="8" width="16.59765625" customWidth="1"/>
  </cols>
  <sheetData>
    <row r="1" spans="1:26" ht="40.049999999999997" customHeight="1" thickBot="1" x14ac:dyDescent="0.4">
      <c r="A1" s="35" t="s">
        <v>3</v>
      </c>
      <c r="B1" s="35"/>
      <c r="C1" s="35"/>
      <c r="D1" s="35"/>
      <c r="E1" s="35"/>
      <c r="F1" s="35"/>
      <c r="G1" s="3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8" customHeight="1" thickBot="1" x14ac:dyDescent="0.4">
      <c r="A2" s="2" t="s">
        <v>0</v>
      </c>
      <c r="B2" s="3" t="s">
        <v>7</v>
      </c>
      <c r="C2" s="3" t="s">
        <v>8</v>
      </c>
      <c r="D2" s="2" t="s">
        <v>1</v>
      </c>
      <c r="E2" s="2" t="s">
        <v>4</v>
      </c>
      <c r="F2" s="2" t="s">
        <v>5</v>
      </c>
      <c r="G2" s="18" t="s">
        <v>6</v>
      </c>
      <c r="H2" s="24" t="s">
        <v>15</v>
      </c>
      <c r="I2" s="25" t="s">
        <v>18</v>
      </c>
      <c r="J2" s="22" t="s">
        <v>13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6" customHeight="1" thickBot="1" x14ac:dyDescent="0.4">
      <c r="A3" s="4">
        <v>1</v>
      </c>
      <c r="B3" s="5">
        <v>2123</v>
      </c>
      <c r="C3" s="5">
        <v>2130</v>
      </c>
      <c r="D3" s="5">
        <f t="shared" ref="D3:D14" si="0">C3-B3</f>
        <v>7</v>
      </c>
      <c r="E3" s="6">
        <f>E$15 * (D3/D$15)</f>
        <v>25.956293706293707</v>
      </c>
      <c r="F3" s="5">
        <v>10.7</v>
      </c>
      <c r="G3" s="36">
        <f>SUM(E3,F3,E4,F4)</f>
        <v>154.88951048951049</v>
      </c>
      <c r="H3" s="31">
        <v>0</v>
      </c>
      <c r="I3" s="30" t="str" cm="1">
        <f t="array" ref="I3">_xlfn.IFS(ABS(G3-H3)&lt;0.1, "已收", G3&lt;H3, "多了", G3&gt;H3, "不够", H3=0, "没交")</f>
        <v>不够</v>
      </c>
      <c r="J3" s="23">
        <v>-5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thickBot="1" x14ac:dyDescent="0.4">
      <c r="A4" s="4">
        <v>2</v>
      </c>
      <c r="B4" s="5">
        <v>5279</v>
      </c>
      <c r="C4" s="5">
        <v>5308</v>
      </c>
      <c r="D4" s="5">
        <f t="shared" si="0"/>
        <v>29</v>
      </c>
      <c r="E4" s="6">
        <f>E$15 * (D4/D$15)</f>
        <v>107.53321678321677</v>
      </c>
      <c r="F4" s="5">
        <v>10.7</v>
      </c>
      <c r="G4" s="37"/>
      <c r="H4" s="31"/>
      <c r="I4" s="30"/>
      <c r="J4" s="23">
        <v>43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6" customHeight="1" thickBot="1" x14ac:dyDescent="0.4">
      <c r="A5" s="4">
        <v>3</v>
      </c>
      <c r="B5" s="7">
        <v>3291</v>
      </c>
      <c r="C5" s="7">
        <v>3295</v>
      </c>
      <c r="D5" s="7">
        <f t="shared" si="0"/>
        <v>4</v>
      </c>
      <c r="E5" s="8">
        <f t="shared" ref="E5:E14" si="1">E$15 * (D5/D$15)</f>
        <v>14.832167832167832</v>
      </c>
      <c r="F5" s="7">
        <v>10.7</v>
      </c>
      <c r="G5" s="20">
        <f>SUM(E5,F5)</f>
        <v>25.532167832167829</v>
      </c>
      <c r="H5" s="26">
        <v>25.5</v>
      </c>
      <c r="I5" s="29" t="str" cm="1">
        <f t="array" ref="I5">_xlfn.IFS(ABS(G5-H5)&lt;0.1, "已收", G5&lt;H5, "多了", G5&gt;H5, "不够", H5=0, "没交")</f>
        <v>已收</v>
      </c>
      <c r="J5" s="23">
        <v>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6" customHeight="1" thickBot="1" x14ac:dyDescent="0.4">
      <c r="A6" s="4">
        <v>4</v>
      </c>
      <c r="B6" s="5">
        <v>1025</v>
      </c>
      <c r="C6" s="5">
        <v>1036</v>
      </c>
      <c r="D6" s="5">
        <f t="shared" si="0"/>
        <v>11</v>
      </c>
      <c r="E6" s="6">
        <f t="shared" si="1"/>
        <v>40.78846153846154</v>
      </c>
      <c r="F6" s="5">
        <v>10.7</v>
      </c>
      <c r="G6" s="19">
        <f>SUM(E6,F6)</f>
        <v>51.488461538461536</v>
      </c>
      <c r="H6" s="26">
        <v>51.5</v>
      </c>
      <c r="I6" s="29" t="str" cm="1">
        <f t="array" ref="I6">_xlfn.IFS(ABS(G6-H6)&lt;0.1, "已收", G6&lt;H6, "多了", G6&gt;H6, "不够", H6=0, "没交")</f>
        <v>已收</v>
      </c>
      <c r="J6" s="23">
        <v>14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6" customHeight="1" thickBot="1" x14ac:dyDescent="0.4">
      <c r="A7" s="4">
        <v>5</v>
      </c>
      <c r="B7" s="7">
        <v>3036</v>
      </c>
      <c r="C7" s="7">
        <v>3041</v>
      </c>
      <c r="D7" s="7">
        <f t="shared" si="0"/>
        <v>5</v>
      </c>
      <c r="E7" s="8">
        <f t="shared" si="1"/>
        <v>18.54020979020979</v>
      </c>
      <c r="F7" s="7">
        <v>10.7</v>
      </c>
      <c r="G7" s="20">
        <f t="shared" ref="G7:G14" si="2">SUM(E7,F7)</f>
        <v>29.240209790209789</v>
      </c>
      <c r="H7" s="26">
        <v>29.2</v>
      </c>
      <c r="I7" s="29" t="str" cm="1">
        <f t="array" ref="I7">_xlfn.IFS(ABS(G7-H7)&lt;0.1, "已收", G7&lt;H7, "多了", G7&gt;H7, "不够", H7=0, "没交")</f>
        <v>已收</v>
      </c>
      <c r="J7" s="23">
        <v>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6" customHeight="1" thickBot="1" x14ac:dyDescent="0.4">
      <c r="A8" s="4">
        <v>6</v>
      </c>
      <c r="B8" s="5">
        <v>4576</v>
      </c>
      <c r="C8" s="5">
        <v>4593</v>
      </c>
      <c r="D8" s="5">
        <f t="shared" si="0"/>
        <v>17</v>
      </c>
      <c r="E8" s="6">
        <f t="shared" si="1"/>
        <v>63.036713286713287</v>
      </c>
      <c r="F8" s="5">
        <v>10.7</v>
      </c>
      <c r="G8" s="19">
        <f t="shared" si="2"/>
        <v>73.736713286713282</v>
      </c>
      <c r="H8" s="26">
        <v>73.7</v>
      </c>
      <c r="I8" s="29" t="str" cm="1">
        <f t="array" ref="I8">_xlfn.IFS(ABS(G8-H8)&lt;0.1, "已收", G8&lt;H8, "多了", G8&gt;H8, "不够", H8=0, "没交")</f>
        <v>已收</v>
      </c>
      <c r="J8" s="23">
        <v>19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6" customHeight="1" thickBot="1" x14ac:dyDescent="0.4">
      <c r="A9" s="4">
        <v>7</v>
      </c>
      <c r="B9" s="7">
        <v>593</v>
      </c>
      <c r="C9" s="7">
        <v>596</v>
      </c>
      <c r="D9" s="7">
        <f t="shared" si="0"/>
        <v>3</v>
      </c>
      <c r="E9" s="8">
        <f t="shared" si="1"/>
        <v>11.124125874125875</v>
      </c>
      <c r="F9" s="7">
        <v>10.7</v>
      </c>
      <c r="G9" s="20">
        <f t="shared" si="2"/>
        <v>21.824125874125876</v>
      </c>
      <c r="H9" s="26">
        <v>21.8</v>
      </c>
      <c r="I9" s="29" t="str" cm="1">
        <f t="array" ref="I9">_xlfn.IFS(ABS(G9-H9)&lt;0.1, "已收", G9&lt;H9, "多了", G9&gt;H9, "不够", H9=0, "没交")</f>
        <v>已收</v>
      </c>
      <c r="J9" s="23">
        <v>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6" customHeight="1" thickBot="1" x14ac:dyDescent="0.4">
      <c r="A10" s="4">
        <v>8</v>
      </c>
      <c r="B10" s="5">
        <v>4323</v>
      </c>
      <c r="C10" s="5">
        <v>4327</v>
      </c>
      <c r="D10" s="5">
        <f t="shared" si="0"/>
        <v>4</v>
      </c>
      <c r="E10" s="6">
        <f t="shared" si="1"/>
        <v>14.832167832167832</v>
      </c>
      <c r="F10" s="5">
        <v>10.7</v>
      </c>
      <c r="G10" s="19">
        <f t="shared" si="2"/>
        <v>25.532167832167829</v>
      </c>
      <c r="H10" s="26">
        <v>25.5</v>
      </c>
      <c r="I10" s="29" t="str" cm="1">
        <f t="array" ref="I10">_xlfn.IFS(ABS(G10-H10)&lt;0.1, "已收", G10&lt;H10, "多了", G10&gt;H10, "不够", H10=0, "没交")</f>
        <v>已收</v>
      </c>
      <c r="J10" s="23">
        <v>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6" customHeight="1" thickBot="1" x14ac:dyDescent="0.4">
      <c r="A11" s="4">
        <v>9</v>
      </c>
      <c r="B11" s="7">
        <v>1879</v>
      </c>
      <c r="C11" s="7">
        <v>1898</v>
      </c>
      <c r="D11" s="7">
        <f t="shared" si="0"/>
        <v>19</v>
      </c>
      <c r="E11" s="8">
        <f t="shared" si="1"/>
        <v>70.4527972027972</v>
      </c>
      <c r="F11" s="7">
        <v>10.7</v>
      </c>
      <c r="G11" s="20">
        <f t="shared" si="2"/>
        <v>81.152797202797203</v>
      </c>
      <c r="H11" s="26">
        <v>81.2</v>
      </c>
      <c r="I11" s="29" t="str" cm="1">
        <f t="array" ref="I11">_xlfn.IFS(ABS(G11-H11)&lt;0.1, "已收", G11&lt;H11, "多了", G11&gt;H11, "不够", H11=0, "没交")</f>
        <v>已收</v>
      </c>
      <c r="J11" s="23">
        <v>30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6" customHeight="1" thickBot="1" x14ac:dyDescent="0.4">
      <c r="A12" s="4">
        <v>10</v>
      </c>
      <c r="B12" s="5">
        <v>1618</v>
      </c>
      <c r="C12" s="5">
        <v>1635</v>
      </c>
      <c r="D12" s="5">
        <f t="shared" si="0"/>
        <v>17</v>
      </c>
      <c r="E12" s="6">
        <f t="shared" si="1"/>
        <v>63.036713286713287</v>
      </c>
      <c r="F12" s="5">
        <v>10.7</v>
      </c>
      <c r="G12" s="19">
        <f t="shared" si="2"/>
        <v>73.736713286713282</v>
      </c>
      <c r="H12" s="26">
        <v>73.7</v>
      </c>
      <c r="I12" s="29" t="str" cm="1">
        <f t="array" ref="I12">_xlfn.IFS(ABS(G12-H12)&lt;0.1, "已收", G12&lt;H12, "多了", G12&gt;H12, "不够", H12=0, "没交")</f>
        <v>已收</v>
      </c>
      <c r="J12" s="23">
        <v>14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6" customHeight="1" thickBot="1" x14ac:dyDescent="0.4">
      <c r="A13" s="4">
        <v>11</v>
      </c>
      <c r="B13" s="7">
        <v>1184</v>
      </c>
      <c r="C13" s="7">
        <v>1202</v>
      </c>
      <c r="D13" s="7">
        <f t="shared" si="0"/>
        <v>18</v>
      </c>
      <c r="E13" s="8">
        <f t="shared" si="1"/>
        <v>66.744755244755254</v>
      </c>
      <c r="F13" s="7">
        <v>10.7</v>
      </c>
      <c r="G13" s="20">
        <f t="shared" si="2"/>
        <v>77.444755244755257</v>
      </c>
      <c r="H13" s="27">
        <v>77.400000000000006</v>
      </c>
      <c r="I13" s="29" t="str" cm="1">
        <f t="array" ref="I13">_xlfn.IFS(ABS(G13-H13)&lt;0.1, "已收", G13&lt;H13, "多了", G13&gt;H13, "不够", H13=0, "没交")</f>
        <v>已收</v>
      </c>
      <c r="J13" s="23">
        <v>35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6" customHeight="1" thickBot="1" x14ac:dyDescent="0.4">
      <c r="A14" s="4">
        <v>12</v>
      </c>
      <c r="B14" s="5">
        <v>3896</v>
      </c>
      <c r="C14" s="5">
        <v>3905</v>
      </c>
      <c r="D14" s="5">
        <f t="shared" si="0"/>
        <v>9</v>
      </c>
      <c r="E14" s="6">
        <f t="shared" si="1"/>
        <v>33.372377622377627</v>
      </c>
      <c r="F14" s="5">
        <v>10.7</v>
      </c>
      <c r="G14" s="19">
        <f t="shared" si="2"/>
        <v>44.07237762237763</v>
      </c>
      <c r="H14" s="26">
        <v>44.1</v>
      </c>
      <c r="I14" s="29" t="str" cm="1">
        <f t="array" ref="I14">_xlfn.IFS(ABS(G14-H14)&lt;0.1, "已收", G14&lt;H14, "多了", G14&gt;H14, "不够", H14=0, "没交")</f>
        <v>已收</v>
      </c>
      <c r="J14" s="23">
        <v>13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6" customHeight="1" thickBot="1" x14ac:dyDescent="0.4">
      <c r="A15" s="9" t="s">
        <v>2</v>
      </c>
      <c r="B15" s="12"/>
      <c r="C15" s="12"/>
      <c r="D15" s="13">
        <f t="shared" ref="D15" si="3">SUM(D3:D14)</f>
        <v>143</v>
      </c>
      <c r="E15" s="10">
        <v>530.25</v>
      </c>
      <c r="F15" s="11">
        <v>128</v>
      </c>
      <c r="G15" s="21">
        <f>SUM(E15:F15)</f>
        <v>658.25</v>
      </c>
      <c r="H15" s="28">
        <f>SUM(H3:H14)</f>
        <v>503.6</v>
      </c>
      <c r="I15" s="29" t="str" cm="1">
        <f t="array" ref="I15">_xlfn.IFS(ABS(G15-H15)&lt;0.1, "已收", G15&lt;H15, "多了", G15&gt;H15, "不够", H15=0, "没交")</f>
        <v>不够</v>
      </c>
      <c r="J15" s="23">
        <f>SUM(J3:J14)</f>
        <v>189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 customHeight="1" thickBot="1" x14ac:dyDescent="0.4">
      <c r="A16" s="38" t="s">
        <v>9</v>
      </c>
      <c r="B16" s="40" t="s">
        <v>11</v>
      </c>
      <c r="C16" s="41"/>
      <c r="D16" s="14" t="str">
        <f>_xlfn.CONCAT(D15, "方")</f>
        <v>143方</v>
      </c>
      <c r="E16" s="45" t="s">
        <v>17</v>
      </c>
      <c r="F16" s="46"/>
      <c r="G16" s="17">
        <f>E15/D15</f>
        <v>3.7080419580419579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" customHeight="1" thickBot="1" x14ac:dyDescent="0.4">
      <c r="A17" s="38"/>
      <c r="B17" s="32" t="s">
        <v>10</v>
      </c>
      <c r="C17" s="33"/>
      <c r="D17" s="14" t="s">
        <v>14</v>
      </c>
      <c r="E17" s="42" t="s">
        <v>16</v>
      </c>
      <c r="F17" s="43"/>
      <c r="G17" s="4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" customHeight="1" thickBot="1" x14ac:dyDescent="0.4">
      <c r="A18" s="39"/>
      <c r="B18" s="34" t="s">
        <v>12</v>
      </c>
      <c r="C18" s="16" t="s">
        <v>4</v>
      </c>
      <c r="D18" s="47" t="str">
        <f>_xlfn.CONCAT("￥", E15)</f>
        <v>￥530.25</v>
      </c>
      <c r="E18" s="48"/>
      <c r="F18" s="51" t="str">
        <f>_xlfn.CONCAT("总：￥", G15)</f>
        <v>总：￥658.25</v>
      </c>
      <c r="G18" s="5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" customHeight="1" thickBot="1" x14ac:dyDescent="0.4">
      <c r="A19" s="39"/>
      <c r="B19" s="32"/>
      <c r="C19" s="15" t="s">
        <v>5</v>
      </c>
      <c r="D19" s="49" t="str">
        <f>_xlfn.CONCAT("￥", F15)</f>
        <v>￥128</v>
      </c>
      <c r="E19" s="50"/>
      <c r="F19" s="51"/>
      <c r="G19" s="5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sheet="1" objects="1" scenarios="1"/>
  <protectedRanges>
    <protectedRange sqref="H3:H14" name="区域1"/>
  </protectedRanges>
  <mergeCells count="13">
    <mergeCell ref="I3:I4"/>
    <mergeCell ref="H3:H4"/>
    <mergeCell ref="B17:C17"/>
    <mergeCell ref="B18:B19"/>
    <mergeCell ref="A1:G1"/>
    <mergeCell ref="G3:G4"/>
    <mergeCell ref="A16:A19"/>
    <mergeCell ref="B16:C16"/>
    <mergeCell ref="E17:G17"/>
    <mergeCell ref="E16:F16"/>
    <mergeCell ref="D18:E18"/>
    <mergeCell ref="D19:E19"/>
    <mergeCell ref="F18:G19"/>
  </mergeCells>
  <phoneticPr fontId="2" type="noConversion"/>
  <conditionalFormatting sqref="I3:I15">
    <cfRule type="cellIs" dxfId="0" priority="1" operator="notEqual">
      <formula>"已收"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Long</cp:lastModifiedBy>
  <dcterms:modified xsi:type="dcterms:W3CDTF">2026-09-06T12:04:25Z</dcterms:modified>
</cp:coreProperties>
</file>