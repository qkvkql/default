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文档\GIT SYNC\default\"/>
    </mc:Choice>
  </mc:AlternateContent>
  <xr:revisionPtr revIDLastSave="0" documentId="13_ncr:1_{8AB43C7A-C2D9-4B70-AEF9-05115204299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每户水表记录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" i="1" l="1"/>
  <c r="D16" i="1"/>
  <c r="G16" i="1"/>
  <c r="F18" i="1"/>
  <c r="D19" i="1"/>
  <c r="D18" i="1"/>
  <c r="G15" i="1"/>
  <c r="J15" i="1"/>
  <c r="D14" i="1"/>
  <c r="D13" i="1"/>
  <c r="D12" i="1"/>
  <c r="D11" i="1"/>
  <c r="D10" i="1"/>
  <c r="D9" i="1"/>
  <c r="D8" i="1"/>
  <c r="D7" i="1"/>
  <c r="D6" i="1"/>
  <c r="D5" i="1"/>
  <c r="D4" i="1"/>
  <c r="D3" i="1"/>
  <c r="D15" i="1" l="1"/>
  <c r="E5" i="1" l="1"/>
  <c r="G5" i="1" s="1"/>
  <c r="E6" i="1"/>
  <c r="G6" i="1" s="1"/>
  <c r="E7" i="1"/>
  <c r="G7" i="1" s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14" i="1"/>
  <c r="G14" i="1" s="1"/>
  <c r="E4" i="1"/>
  <c r="E3" i="1"/>
  <c r="G3" i="1" s="1"/>
</calcChain>
</file>

<file path=xl/sharedStrings.xml><?xml version="1.0" encoding="utf-8"?>
<sst xmlns="http://schemas.openxmlformats.org/spreadsheetml/2006/main" count="20" uniqueCount="18">
  <si>
    <t>门号</t>
  </si>
  <si>
    <t>用量</t>
  </si>
  <si>
    <t>总计</t>
  </si>
  <si>
    <r>
      <rPr>
        <b/>
        <sz val="24"/>
        <color rgb="FFFFFFFF"/>
        <rFont val="微软雅黑"/>
        <family val="2"/>
        <charset val="134"/>
      </rPr>
      <t>水费明细</t>
    </r>
    <r>
      <rPr>
        <b/>
        <sz val="24"/>
        <color rgb="FFFFFFFF"/>
        <rFont val="Arial"/>
        <family val="2"/>
        <scheme val="minor"/>
      </rPr>
      <t>(2026-08)</t>
    </r>
    <phoneticPr fontId="2" type="noConversion"/>
  </si>
  <si>
    <t>水费</t>
    <phoneticPr fontId="2" type="noConversion"/>
  </si>
  <si>
    <t>垃圾费</t>
    <phoneticPr fontId="2" type="noConversion"/>
  </si>
  <si>
    <t>总金额</t>
    <phoneticPr fontId="2" type="noConversion"/>
  </si>
  <si>
    <t>上次
读数</t>
    <phoneticPr fontId="2" type="noConversion"/>
  </si>
  <si>
    <t>本次
读数</t>
    <phoneticPr fontId="2" type="noConversion"/>
  </si>
  <si>
    <t>备注</t>
    <phoneticPr fontId="2" type="noConversion"/>
  </si>
  <si>
    <t>账单用水总量</t>
    <phoneticPr fontId="2" type="noConversion"/>
  </si>
  <si>
    <t>抄表用水总量</t>
    <phoneticPr fontId="2" type="noConversion"/>
  </si>
  <si>
    <t>交费总额</t>
    <phoneticPr fontId="2" type="noConversion"/>
  </si>
  <si>
    <t>草稿</t>
    <phoneticPr fontId="2" type="noConversion"/>
  </si>
  <si>
    <t>175方</t>
    <phoneticPr fontId="2" type="noConversion"/>
  </si>
  <si>
    <t>已收金额</t>
    <phoneticPr fontId="2" type="noConversion"/>
  </si>
  <si>
    <r>
      <t>7</t>
    </r>
    <r>
      <rPr>
        <b/>
        <sz val="12"/>
        <color theme="4" tint="-0.249977111117893"/>
        <rFont val="微软雅黑"/>
        <family val="2"/>
        <charset val="134"/>
      </rPr>
      <t>月90方，</t>
    </r>
    <r>
      <rPr>
        <b/>
        <sz val="12"/>
        <color theme="4" tint="-0.249977111117893"/>
        <rFont val="Arial"/>
        <family val="2"/>
        <scheme val="minor"/>
      </rPr>
      <t>8</t>
    </r>
    <r>
      <rPr>
        <b/>
        <sz val="12"/>
        <color theme="4" tint="-0.249977111117893"/>
        <rFont val="微软雅黑"/>
        <family val="2"/>
        <charset val="134"/>
      </rPr>
      <t>月85方</t>
    </r>
    <phoneticPr fontId="2" type="noConversion"/>
  </si>
  <si>
    <t>实际抄表每方费用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</si>
</sst>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2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9"/>
      <name val="Arial"/>
      <family val="3"/>
      <charset val="134"/>
      <scheme val="minor"/>
    </font>
    <font>
      <b/>
      <sz val="24"/>
      <color rgb="FFFFFFFF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24"/>
      <color theme="1"/>
      <name val="Arial"/>
      <family val="2"/>
      <scheme val="minor"/>
    </font>
    <font>
      <b/>
      <sz val="20"/>
      <color theme="1"/>
      <name val="Arial"/>
      <family val="2"/>
      <scheme val="minor"/>
    </font>
    <font>
      <sz val="22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24"/>
      <color rgb="FFFFFFFF"/>
      <name val="微软雅黑"/>
      <family val="2"/>
      <charset val="134"/>
    </font>
    <font>
      <b/>
      <sz val="24"/>
      <color rgb="FFFFFFFF"/>
      <name val="Arial"/>
      <family val="2"/>
      <charset val="134"/>
      <scheme val="minor"/>
    </font>
    <font>
      <b/>
      <sz val="18"/>
      <color theme="1"/>
      <name val="微软雅黑"/>
      <family val="2"/>
      <charset val="134"/>
    </font>
    <font>
      <sz val="22"/>
      <name val="Arial"/>
      <family val="2"/>
      <scheme val="minor"/>
    </font>
    <font>
      <b/>
      <sz val="22"/>
      <name val="Arial"/>
      <family val="2"/>
      <scheme val="minor"/>
    </font>
    <font>
      <sz val="16"/>
      <color theme="1"/>
      <name val="微软雅黑"/>
      <family val="2"/>
      <charset val="134"/>
    </font>
    <font>
      <sz val="16"/>
      <color theme="1"/>
      <name val="Arial"/>
      <family val="2"/>
      <scheme val="minor"/>
    </font>
    <font>
      <b/>
      <sz val="20"/>
      <color rgb="FFFF0000"/>
      <name val="Arial"/>
      <family val="2"/>
      <scheme val="minor"/>
    </font>
    <font>
      <b/>
      <sz val="12"/>
      <color theme="4" tint="-0.249977111117893"/>
      <name val="Arial"/>
      <family val="2"/>
      <scheme val="minor"/>
    </font>
    <font>
      <b/>
      <sz val="12"/>
      <color theme="4" tint="-0.249977111117893"/>
      <name val="微软雅黑"/>
      <family val="2"/>
      <charset val="134"/>
    </font>
    <font>
      <sz val="16"/>
      <color rgb="FFFF0000"/>
      <name val="Arial"/>
      <family val="2"/>
      <scheme val="minor"/>
    </font>
    <font>
      <b/>
      <sz val="18"/>
      <color theme="5" tint="-0.499984740745262"/>
      <name val="微软雅黑"/>
      <family val="2"/>
      <charset val="134"/>
    </font>
    <font>
      <sz val="22"/>
      <color rgb="FFFF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right" vertical="center" indent="1"/>
    </xf>
    <xf numFmtId="0" fontId="4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right" vertical="center"/>
    </xf>
    <xf numFmtId="176" fontId="12" fillId="0" borderId="1" xfId="0" applyNumberFormat="1" applyFont="1" applyBorder="1" applyAlignment="1">
      <alignment horizontal="right" vertical="center" indent="1"/>
    </xf>
    <xf numFmtId="0" fontId="12" fillId="5" borderId="1" xfId="0" applyFont="1" applyFill="1" applyBorder="1" applyAlignment="1">
      <alignment horizontal="right" vertical="center"/>
    </xf>
    <xf numFmtId="176" fontId="12" fillId="5" borderId="1" xfId="0" applyNumberFormat="1" applyFont="1" applyFill="1" applyBorder="1" applyAlignment="1">
      <alignment horizontal="right" vertical="center" indent="1"/>
    </xf>
    <xf numFmtId="0" fontId="6" fillId="3" borderId="1" xfId="0" applyFont="1" applyFill="1" applyBorder="1" applyAlignment="1">
      <alignment horizontal="center" vertical="center"/>
    </xf>
    <xf numFmtId="2" fontId="13" fillId="0" borderId="2" xfId="0" applyNumberFormat="1" applyFont="1" applyBorder="1" applyAlignment="1">
      <alignment horizontal="right" vertical="center"/>
    </xf>
    <xf numFmtId="1" fontId="13" fillId="0" borderId="2" xfId="0" applyNumberFormat="1" applyFont="1" applyBorder="1" applyAlignment="1">
      <alignment horizontal="right" vertical="center"/>
    </xf>
    <xf numFmtId="0" fontId="12" fillId="0" borderId="2" xfId="0" applyFont="1" applyBorder="1" applyAlignment="1">
      <alignment horizontal="right" vertical="center"/>
    </xf>
    <xf numFmtId="0" fontId="13" fillId="0" borderId="2" xfId="0" applyFont="1" applyBorder="1" applyAlignment="1">
      <alignment horizontal="right" vertical="center"/>
    </xf>
    <xf numFmtId="1" fontId="15" fillId="0" borderId="7" xfId="0" applyNumberFormat="1" applyFont="1" applyBorder="1" applyAlignment="1">
      <alignment vertical="center"/>
    </xf>
    <xf numFmtId="0" fontId="14" fillId="0" borderId="3" xfId="0" applyFont="1" applyBorder="1" applyAlignment="1">
      <alignment horizontal="right" vertical="center"/>
    </xf>
    <xf numFmtId="0" fontId="14" fillId="0" borderId="5" xfId="0" applyFont="1" applyBorder="1" applyAlignment="1">
      <alignment horizontal="right" vertical="center"/>
    </xf>
    <xf numFmtId="176" fontId="19" fillId="0" borderId="4" xfId="0" applyNumberFormat="1" applyFont="1" applyBorder="1" applyAlignment="1">
      <alignment horizontal="left" vertical="center" indent="1"/>
    </xf>
    <xf numFmtId="0" fontId="4" fillId="3" borderId="3" xfId="0" applyFont="1" applyFill="1" applyBorder="1" applyAlignment="1">
      <alignment horizontal="center" vertical="center"/>
    </xf>
    <xf numFmtId="176" fontId="13" fillId="0" borderId="3" xfId="0" applyNumberFormat="1" applyFont="1" applyBorder="1" applyAlignment="1">
      <alignment horizontal="right" vertical="center" indent="1"/>
    </xf>
    <xf numFmtId="176" fontId="13" fillId="5" borderId="3" xfId="0" applyNumberFormat="1" applyFont="1" applyFill="1" applyBorder="1" applyAlignment="1">
      <alignment horizontal="right" vertical="center" indent="1"/>
    </xf>
    <xf numFmtId="2" fontId="13" fillId="0" borderId="5" xfId="0" applyNumberFormat="1" applyFont="1" applyBorder="1" applyAlignment="1">
      <alignment horizontal="right" vertical="center"/>
    </xf>
    <xf numFmtId="0" fontId="20" fillId="6" borderId="12" xfId="0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right" vertical="center" indent="1"/>
    </xf>
    <xf numFmtId="0" fontId="21" fillId="6" borderId="12" xfId="0" applyFont="1" applyFill="1" applyBorder="1" applyAlignment="1">
      <alignment horizontal="right" vertical="center" indent="1"/>
    </xf>
    <xf numFmtId="0" fontId="12" fillId="6" borderId="13" xfId="0" applyFont="1" applyFill="1" applyBorder="1" applyAlignment="1">
      <alignment horizontal="right" vertical="center" indent="1"/>
    </xf>
    <xf numFmtId="0" fontId="12" fillId="6" borderId="14" xfId="0" applyFont="1" applyFill="1" applyBorder="1" applyAlignment="1">
      <alignment horizontal="right" vertical="center" indent="1"/>
    </xf>
    <xf numFmtId="0" fontId="14" fillId="0" borderId="3" xfId="0" applyFont="1" applyBorder="1" applyAlignment="1">
      <alignment horizontal="right" vertical="center"/>
    </xf>
    <xf numFmtId="0" fontId="14" fillId="0" borderId="11" xfId="0" applyFont="1" applyBorder="1" applyAlignment="1">
      <alignment horizontal="right" vertical="center"/>
    </xf>
    <xf numFmtId="0" fontId="14" fillId="0" borderId="6" xfId="0" applyFont="1" applyBorder="1" applyAlignment="1">
      <alignment horizontal="right" vertical="center" wrapText="1"/>
    </xf>
    <xf numFmtId="0" fontId="10" fillId="2" borderId="1" xfId="0" applyFont="1" applyFill="1" applyBorder="1" applyAlignment="1">
      <alignment horizontal="center" vertical="center"/>
    </xf>
    <xf numFmtId="176" fontId="13" fillId="0" borderId="3" xfId="0" applyNumberFormat="1" applyFont="1" applyBorder="1" applyAlignment="1">
      <alignment horizontal="right" vertical="center" indent="1"/>
    </xf>
    <xf numFmtId="0" fontId="13" fillId="0" borderId="3" xfId="0" applyFont="1" applyBorder="1" applyAlignment="1">
      <alignment horizontal="right" vertical="center" indent="1"/>
    </xf>
    <xf numFmtId="0" fontId="6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5" fillId="0" borderId="5" xfId="0" applyFont="1" applyBorder="1" applyAlignment="1">
      <alignment horizontal="right" vertical="center"/>
    </xf>
    <xf numFmtId="0" fontId="15" fillId="0" borderId="11" xfId="0" applyFont="1" applyBorder="1" applyAlignment="1">
      <alignment horizontal="right" vertical="center"/>
    </xf>
    <xf numFmtId="0" fontId="17" fillId="0" borderId="0" xfId="0" applyFont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176" fontId="14" fillId="0" borderId="9" xfId="0" applyNumberFormat="1" applyFont="1" applyBorder="1" applyAlignment="1">
      <alignment horizontal="right" vertical="center"/>
    </xf>
    <xf numFmtId="176" fontId="15" fillId="0" borderId="9" xfId="0" applyNumberFormat="1" applyFont="1" applyBorder="1" applyAlignment="1">
      <alignment horizontal="right" vertical="center"/>
    </xf>
    <xf numFmtId="2" fontId="15" fillId="0" borderId="11" xfId="0" applyNumberFormat="1" applyFont="1" applyBorder="1" applyAlignment="1">
      <alignment horizontal="left" vertical="center" indent="1"/>
    </xf>
    <xf numFmtId="2" fontId="15" fillId="0" borderId="7" xfId="0" applyNumberFormat="1" applyFont="1" applyBorder="1" applyAlignment="1">
      <alignment horizontal="left" vertical="center" indent="1"/>
    </xf>
    <xf numFmtId="1" fontId="15" fillId="0" borderId="9" xfId="0" applyNumberFormat="1" applyFont="1" applyBorder="1" applyAlignment="1">
      <alignment horizontal="left" vertical="center" indent="1"/>
    </xf>
    <xf numFmtId="1" fontId="15" fillId="0" borderId="4" xfId="0" applyNumberFormat="1" applyFont="1" applyBorder="1" applyAlignment="1">
      <alignment horizontal="left" vertical="center" indent="1"/>
    </xf>
    <xf numFmtId="2" fontId="16" fillId="0" borderId="4" xfId="0" applyNumberFormat="1" applyFont="1" applyBorder="1" applyAlignment="1">
      <alignment horizontal="left" vertical="center"/>
    </xf>
    <xf numFmtId="2" fontId="16" fillId="0" borderId="1" xfId="0" applyNumberFormat="1" applyFont="1" applyBorder="1" applyAlignment="1">
      <alignment horizontal="left" vertical="center"/>
    </xf>
    <xf numFmtId="176" fontId="12" fillId="6" borderId="12" xfId="0" applyNumberFormat="1" applyFont="1" applyFill="1" applyBorder="1" applyAlignment="1">
      <alignment horizontal="right" vertical="center" inden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>
      <selection sqref="A1:G1"/>
    </sheetView>
  </sheetViews>
  <sheetFormatPr defaultColWidth="12.59765625" defaultRowHeight="15.75" customHeight="1" x14ac:dyDescent="0.35"/>
  <cols>
    <col min="1" max="1" width="8.59765625" customWidth="1"/>
    <col min="2" max="3" width="13.59765625" customWidth="1"/>
    <col min="4" max="4" width="10.59765625" customWidth="1"/>
    <col min="5" max="5" width="16.59765625" customWidth="1"/>
    <col min="6" max="6" width="10.59765625" customWidth="1"/>
    <col min="7" max="8" width="16.59765625" customWidth="1"/>
  </cols>
  <sheetData>
    <row r="1" spans="1:26" ht="40.049999999999997" customHeight="1" thickBot="1" x14ac:dyDescent="0.4">
      <c r="A1" s="32" t="s">
        <v>3</v>
      </c>
      <c r="B1" s="32"/>
      <c r="C1" s="32"/>
      <c r="D1" s="32"/>
      <c r="E1" s="32"/>
      <c r="F1" s="32"/>
      <c r="G1" s="3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48" customHeight="1" thickBot="1" x14ac:dyDescent="0.4">
      <c r="A2" s="4" t="s">
        <v>0</v>
      </c>
      <c r="B2" s="5" t="s">
        <v>7</v>
      </c>
      <c r="C2" s="5" t="s">
        <v>8</v>
      </c>
      <c r="D2" s="4" t="s">
        <v>1</v>
      </c>
      <c r="E2" s="4" t="s">
        <v>4</v>
      </c>
      <c r="F2" s="4" t="s">
        <v>5</v>
      </c>
      <c r="G2" s="20" t="s">
        <v>6</v>
      </c>
      <c r="H2" s="24" t="s">
        <v>15</v>
      </c>
      <c r="I2" s="1"/>
      <c r="J2" s="2" t="s">
        <v>13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6" customHeight="1" thickBot="1" x14ac:dyDescent="0.4">
      <c r="A3" s="6">
        <v>1</v>
      </c>
      <c r="B3" s="7">
        <v>2123</v>
      </c>
      <c r="C3" s="7">
        <v>2130</v>
      </c>
      <c r="D3" s="7">
        <f t="shared" ref="D3:D14" si="0">C3-B3</f>
        <v>7</v>
      </c>
      <c r="E3" s="8">
        <f>E$15 * (D3/D$15)</f>
        <v>25.956293706293707</v>
      </c>
      <c r="F3" s="7">
        <v>10.7</v>
      </c>
      <c r="G3" s="33">
        <f>SUM(E3,F3,E4,F4)</f>
        <v>154.88951048951049</v>
      </c>
      <c r="H3" s="27">
        <v>0</v>
      </c>
      <c r="I3" s="1"/>
      <c r="J3" s="3">
        <v>-5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6" customHeight="1" thickBot="1" x14ac:dyDescent="0.4">
      <c r="A4" s="6">
        <v>2</v>
      </c>
      <c r="B4" s="7">
        <v>5279</v>
      </c>
      <c r="C4" s="7">
        <v>5308</v>
      </c>
      <c r="D4" s="7">
        <f t="shared" si="0"/>
        <v>29</v>
      </c>
      <c r="E4" s="8">
        <f>E$15 * (D4/D$15)</f>
        <v>107.53321678321677</v>
      </c>
      <c r="F4" s="7">
        <v>10.7</v>
      </c>
      <c r="G4" s="34"/>
      <c r="H4" s="28"/>
      <c r="I4" s="1"/>
      <c r="J4" s="3">
        <v>43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36" customHeight="1" thickBot="1" x14ac:dyDescent="0.4">
      <c r="A5" s="6">
        <v>3</v>
      </c>
      <c r="B5" s="9">
        <v>3291</v>
      </c>
      <c r="C5" s="9">
        <v>3295</v>
      </c>
      <c r="D5" s="9">
        <f t="shared" si="0"/>
        <v>4</v>
      </c>
      <c r="E5" s="10">
        <f t="shared" ref="E5:E14" si="1">E$15 * (D5/D$15)</f>
        <v>14.832167832167832</v>
      </c>
      <c r="F5" s="9">
        <v>10.7</v>
      </c>
      <c r="G5" s="22">
        <f>SUM(E5,F5)</f>
        <v>25.532167832167829</v>
      </c>
      <c r="H5" s="25">
        <v>0</v>
      </c>
      <c r="I5" s="1"/>
      <c r="J5" s="3">
        <v>6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6" customHeight="1" thickBot="1" x14ac:dyDescent="0.4">
      <c r="A6" s="6">
        <v>4</v>
      </c>
      <c r="B6" s="7">
        <v>1025</v>
      </c>
      <c r="C6" s="7">
        <v>1036</v>
      </c>
      <c r="D6" s="7">
        <f t="shared" si="0"/>
        <v>11</v>
      </c>
      <c r="E6" s="8">
        <f t="shared" si="1"/>
        <v>40.78846153846154</v>
      </c>
      <c r="F6" s="7">
        <v>10.7</v>
      </c>
      <c r="G6" s="21">
        <f>SUM(E6,F6)</f>
        <v>51.488461538461536</v>
      </c>
      <c r="H6" s="25">
        <v>0</v>
      </c>
      <c r="I6" s="1"/>
      <c r="J6" s="3">
        <v>14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36" customHeight="1" thickBot="1" x14ac:dyDescent="0.4">
      <c r="A7" s="6">
        <v>5</v>
      </c>
      <c r="B7" s="9">
        <v>3036</v>
      </c>
      <c r="C7" s="9">
        <v>3041</v>
      </c>
      <c r="D7" s="9">
        <f t="shared" si="0"/>
        <v>5</v>
      </c>
      <c r="E7" s="10">
        <f t="shared" si="1"/>
        <v>18.54020979020979</v>
      </c>
      <c r="F7" s="9">
        <v>10.7</v>
      </c>
      <c r="G7" s="22">
        <f t="shared" ref="G7:G14" si="2">SUM(E7,F7)</f>
        <v>29.240209790209789</v>
      </c>
      <c r="H7" s="25">
        <v>0</v>
      </c>
      <c r="I7" s="1"/>
      <c r="J7" s="3">
        <v>8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36" customHeight="1" thickBot="1" x14ac:dyDescent="0.4">
      <c r="A8" s="6">
        <v>6</v>
      </c>
      <c r="B8" s="7">
        <v>4576</v>
      </c>
      <c r="C8" s="7">
        <v>4593</v>
      </c>
      <c r="D8" s="7">
        <f t="shared" si="0"/>
        <v>17</v>
      </c>
      <c r="E8" s="8">
        <f t="shared" si="1"/>
        <v>63.036713286713287</v>
      </c>
      <c r="F8" s="7">
        <v>10.7</v>
      </c>
      <c r="G8" s="21">
        <f t="shared" si="2"/>
        <v>73.736713286713282</v>
      </c>
      <c r="H8" s="25">
        <v>0</v>
      </c>
      <c r="I8" s="1"/>
      <c r="J8" s="3">
        <v>19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36" customHeight="1" thickBot="1" x14ac:dyDescent="0.4">
      <c r="A9" s="6">
        <v>7</v>
      </c>
      <c r="B9" s="9">
        <v>593</v>
      </c>
      <c r="C9" s="9">
        <v>596</v>
      </c>
      <c r="D9" s="9">
        <f t="shared" si="0"/>
        <v>3</v>
      </c>
      <c r="E9" s="10">
        <f t="shared" si="1"/>
        <v>11.124125874125875</v>
      </c>
      <c r="F9" s="9">
        <v>10.7</v>
      </c>
      <c r="G9" s="22">
        <f t="shared" si="2"/>
        <v>21.824125874125876</v>
      </c>
      <c r="H9" s="25">
        <v>0</v>
      </c>
      <c r="I9" s="1"/>
      <c r="J9" s="3">
        <v>6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36" customHeight="1" thickBot="1" x14ac:dyDescent="0.4">
      <c r="A10" s="6">
        <v>8</v>
      </c>
      <c r="B10" s="7">
        <v>4323</v>
      </c>
      <c r="C10" s="7">
        <v>4327</v>
      </c>
      <c r="D10" s="7">
        <f t="shared" si="0"/>
        <v>4</v>
      </c>
      <c r="E10" s="8">
        <f t="shared" si="1"/>
        <v>14.832167832167832</v>
      </c>
      <c r="F10" s="7">
        <v>10.7</v>
      </c>
      <c r="G10" s="21">
        <f t="shared" si="2"/>
        <v>25.532167832167829</v>
      </c>
      <c r="H10" s="25">
        <v>0</v>
      </c>
      <c r="I10" s="1"/>
      <c r="J10" s="3">
        <v>6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36" customHeight="1" thickBot="1" x14ac:dyDescent="0.4">
      <c r="A11" s="6">
        <v>9</v>
      </c>
      <c r="B11" s="9">
        <v>1879</v>
      </c>
      <c r="C11" s="9">
        <v>1898</v>
      </c>
      <c r="D11" s="9">
        <f t="shared" si="0"/>
        <v>19</v>
      </c>
      <c r="E11" s="10">
        <f t="shared" si="1"/>
        <v>70.4527972027972</v>
      </c>
      <c r="F11" s="9">
        <v>10.7</v>
      </c>
      <c r="G11" s="22">
        <f t="shared" si="2"/>
        <v>81.152797202797203</v>
      </c>
      <c r="H11" s="25">
        <v>0</v>
      </c>
      <c r="I11" s="1"/>
      <c r="J11" s="3">
        <v>30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36" customHeight="1" thickBot="1" x14ac:dyDescent="0.4">
      <c r="A12" s="6">
        <v>10</v>
      </c>
      <c r="B12" s="7">
        <v>1618</v>
      </c>
      <c r="C12" s="7">
        <v>1635</v>
      </c>
      <c r="D12" s="7">
        <f t="shared" si="0"/>
        <v>17</v>
      </c>
      <c r="E12" s="8">
        <f t="shared" si="1"/>
        <v>63.036713286713287</v>
      </c>
      <c r="F12" s="7">
        <v>10.7</v>
      </c>
      <c r="G12" s="21">
        <f t="shared" si="2"/>
        <v>73.736713286713282</v>
      </c>
      <c r="H12" s="25">
        <v>0</v>
      </c>
      <c r="I12" s="1"/>
      <c r="J12" s="3">
        <v>14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6" customHeight="1" thickBot="1" x14ac:dyDescent="0.4">
      <c r="A13" s="6">
        <v>11</v>
      </c>
      <c r="B13" s="9">
        <v>1184</v>
      </c>
      <c r="C13" s="9">
        <v>1202</v>
      </c>
      <c r="D13" s="9">
        <f t="shared" si="0"/>
        <v>18</v>
      </c>
      <c r="E13" s="10">
        <f t="shared" si="1"/>
        <v>66.744755244755254</v>
      </c>
      <c r="F13" s="9">
        <v>10.7</v>
      </c>
      <c r="G13" s="22">
        <f t="shared" si="2"/>
        <v>77.444755244755257</v>
      </c>
      <c r="H13" s="50">
        <v>77.400000000000006</v>
      </c>
      <c r="I13" s="1"/>
      <c r="J13" s="3">
        <v>35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6" customHeight="1" thickBot="1" x14ac:dyDescent="0.4">
      <c r="A14" s="6">
        <v>12</v>
      </c>
      <c r="B14" s="7">
        <v>3896</v>
      </c>
      <c r="C14" s="7">
        <v>3905</v>
      </c>
      <c r="D14" s="7">
        <f t="shared" si="0"/>
        <v>9</v>
      </c>
      <c r="E14" s="8">
        <f t="shared" si="1"/>
        <v>33.372377622377627</v>
      </c>
      <c r="F14" s="7">
        <v>10.7</v>
      </c>
      <c r="G14" s="21">
        <f t="shared" si="2"/>
        <v>44.07237762237763</v>
      </c>
      <c r="H14" s="25">
        <v>0</v>
      </c>
      <c r="I14" s="1"/>
      <c r="J14" s="3">
        <v>13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36" customHeight="1" thickBot="1" x14ac:dyDescent="0.4">
      <c r="A15" s="11" t="s">
        <v>2</v>
      </c>
      <c r="B15" s="14"/>
      <c r="C15" s="14"/>
      <c r="D15" s="15">
        <f t="shared" ref="D15" si="3">SUM(D3:D14)</f>
        <v>143</v>
      </c>
      <c r="E15" s="12">
        <v>530.25</v>
      </c>
      <c r="F15" s="13">
        <v>128</v>
      </c>
      <c r="G15" s="23">
        <f>SUM(E15:F15)</f>
        <v>658.25</v>
      </c>
      <c r="H15" s="26">
        <f>SUM(H3:H14)</f>
        <v>77.400000000000006</v>
      </c>
      <c r="I15" s="1"/>
      <c r="J15" s="3">
        <f>SUM(J3:J14)</f>
        <v>189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4" customHeight="1" thickBot="1" x14ac:dyDescent="0.4">
      <c r="A16" s="35" t="s">
        <v>9</v>
      </c>
      <c r="B16" s="37" t="s">
        <v>11</v>
      </c>
      <c r="C16" s="38"/>
      <c r="D16" s="16" t="str">
        <f>_xlfn.CONCAT(D15, "方")</f>
        <v>143方</v>
      </c>
      <c r="E16" s="42" t="s">
        <v>17</v>
      </c>
      <c r="F16" s="43"/>
      <c r="G16" s="19">
        <f>E15/D15</f>
        <v>3.7080419580419579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4" customHeight="1" thickBot="1" x14ac:dyDescent="0.4">
      <c r="A17" s="35"/>
      <c r="B17" s="29" t="s">
        <v>10</v>
      </c>
      <c r="C17" s="30"/>
      <c r="D17" s="16" t="s">
        <v>14</v>
      </c>
      <c r="E17" s="39" t="s">
        <v>16</v>
      </c>
      <c r="F17" s="40"/>
      <c r="G17" s="4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4" customHeight="1" thickBot="1" x14ac:dyDescent="0.4">
      <c r="A18" s="36"/>
      <c r="B18" s="31" t="s">
        <v>12</v>
      </c>
      <c r="C18" s="18" t="s">
        <v>4</v>
      </c>
      <c r="D18" s="44" t="str">
        <f>_xlfn.CONCAT("￥", E15)</f>
        <v>￥530.25</v>
      </c>
      <c r="E18" s="45"/>
      <c r="F18" s="48" t="str">
        <f>_xlfn.CONCAT("总：￥", G15)</f>
        <v>总：￥658.25</v>
      </c>
      <c r="G18" s="49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4" customHeight="1" thickBot="1" x14ac:dyDescent="0.4">
      <c r="A19" s="36"/>
      <c r="B19" s="29"/>
      <c r="C19" s="17" t="s">
        <v>5</v>
      </c>
      <c r="D19" s="46" t="str">
        <f>_xlfn.CONCAT("￥", F15)</f>
        <v>￥128</v>
      </c>
      <c r="E19" s="47"/>
      <c r="F19" s="48"/>
      <c r="G19" s="49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3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3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3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3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3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3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3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3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3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3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3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3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3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3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3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3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3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3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3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3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3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3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3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3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3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3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3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3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3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3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3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3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3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3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3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3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3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3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3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3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3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3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3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3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3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3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3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3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3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3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3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3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3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3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3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3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3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3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3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3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3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3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3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3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3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3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3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3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3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3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3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3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3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3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3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3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3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3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3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3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3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3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3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3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3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3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3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3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3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3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3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3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3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3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3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3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3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3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3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3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3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3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3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3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3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3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3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3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3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3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3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3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3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3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3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3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3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3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3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3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3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3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3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3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3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3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3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3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3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3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3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3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3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3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3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3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3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3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3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3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3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3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3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3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3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x14ac:dyDescent="0.3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2">
    <mergeCell ref="H3:H4"/>
    <mergeCell ref="B17:C17"/>
    <mergeCell ref="B18:B19"/>
    <mergeCell ref="A1:G1"/>
    <mergeCell ref="G3:G4"/>
    <mergeCell ref="A16:A19"/>
    <mergeCell ref="B16:C16"/>
    <mergeCell ref="E17:G17"/>
    <mergeCell ref="E16:F16"/>
    <mergeCell ref="D18:E18"/>
    <mergeCell ref="D19:E19"/>
    <mergeCell ref="F18:G19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每户水表记录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Jonas Long</cp:lastModifiedBy>
  <dcterms:modified xsi:type="dcterms:W3CDTF">2026-09-05T15:52:25Z</dcterms:modified>
</cp:coreProperties>
</file>